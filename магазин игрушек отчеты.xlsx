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3bbfb54cf9765ad/Desktop/ФИНАШКА/"/>
    </mc:Choice>
  </mc:AlternateContent>
  <xr:revisionPtr revIDLastSave="3" documentId="8_{373C9869-B3BD-4905-A306-9424A70134DB}" xr6:coauthVersionLast="47" xr6:coauthVersionMax="47" xr10:uidLastSave="{2C27F828-F1F9-4780-A59F-A1E63D1F3CB4}"/>
  <bookViews>
    <workbookView xWindow="-108" yWindow="-108" windowWidth="23256" windowHeight="12456" tabRatio="707" activeTab="3" xr2:uid="{00000000-000D-0000-FFFF-FFFF00000000}"/>
  </bookViews>
  <sheets>
    <sheet name=" КР задание" sheetId="1" r:id="rId1"/>
    <sheet name="вариант-номер по списку" sheetId="2" r:id="rId2"/>
    <sheet name="прайс" sheetId="3" r:id="rId3"/>
    <sheet name="Итоговая" sheetId="9" r:id="rId4"/>
    <sheet name="Лист1" sheetId="10" r:id="rId5"/>
    <sheet name="Детки-конфетки" sheetId="4" r:id="rId6"/>
    <sheet name="Детский мир" sheetId="5" r:id="rId7"/>
    <sheet name="Машенька" sheetId="7" r:id="rId8"/>
    <sheet name="Мир детства" sheetId="8" r:id="rId9"/>
  </sheets>
  <definedNames>
    <definedName name="ExternalData_1" localSheetId="5" hidden="1">'Детки-конфетки'!$A$1:$E$232</definedName>
    <definedName name="ExternalData_1" localSheetId="6" hidden="1">'Детский мир'!$A$1:$E$266</definedName>
    <definedName name="ExternalData_1" localSheetId="3" hidden="1">Итоговая!$A$1:$E$900</definedName>
    <definedName name="ExternalData_1" localSheetId="7" hidden="1">Машенька!$A$1:$K$232</definedName>
    <definedName name="ExternalData_1" localSheetId="8" hidden="1">'Мир детства'!$A$1:$E$232</definedName>
    <definedName name="ExternalData_2" localSheetId="4" hidden="1">Лист1!$A$1:$E$900</definedName>
    <definedName name="_xlnm.Database">#REF!</definedName>
    <definedName name="покупатели">#REF!</definedName>
    <definedName name="Срез_Годы__Дата">#N/A</definedName>
    <definedName name="Срез_Годы__Дата1">#N/A</definedName>
    <definedName name="Срез_Годы__Дата2">#N/A</definedName>
    <definedName name="Срез_Годы__Дата3">#N/A</definedName>
    <definedName name="Срез_Кварталы__Дата">#N/A</definedName>
    <definedName name="Срез_Кварталы__Дата1">#N/A</definedName>
    <definedName name="Срез_магазин">#N/A</definedName>
    <definedName name="Срез_магазин1">#N/A</definedName>
    <definedName name="Срез_магазин2">#N/A</definedName>
    <definedName name="Срез_магазин3">#N/A</definedName>
    <definedName name="Срез_Месяцы__Дата">#N/A</definedName>
    <definedName name="Срез_Товар">#N/A</definedName>
    <definedName name="Срез_Товар1">#N/A</definedName>
  </definedNames>
  <calcPr calcId="191029" iterateDelta="1E-4"/>
  <pivotCaches>
    <pivotCache cacheId="4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2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2" i="9"/>
  <c r="K183" i="9"/>
  <c r="J159" i="9"/>
  <c r="K159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EE91E5-0F75-4B7C-B05A-B9FD85E8DA5B}" keepAlive="1" name="Запрос — Добавить1" description="Соединение с запросом &quot;Добавить1&quot; в книге." type="5" refreshedVersion="6" background="1" saveData="1">
    <dbPr connection="Provider=Microsoft.Mashup.OleDb.1;Data Source=$Workbook$;Location=Добавить1;Extended Properties=&quot;&quot;" command="SELECT * FROM [Добавить1]"/>
  </connection>
  <connection id="2" xr16:uid="{E3943814-53DC-4B31-B82B-7840F741198A}" keepAlive="1" name="Запрос — Добавить1 (2)" description="Соединение с запросом &quot;Добавить1 (2)&quot; в книге." type="5" refreshedVersion="6" background="1" saveData="1">
    <dbPr connection="Provider=Microsoft.Mashup.OleDb.1;Data Source=$Workbook$;Location=&quot;Добавить1 (2)&quot;;Extended Properties=&quot;&quot;" command="SELECT * FROM [Добавить1 (2)]"/>
  </connection>
  <connection id="3" xr16:uid="{27C1C1B7-CD7E-48DE-9BBE-7DBDADDFB826}" keepAlive="1" name="Запрос — Лист1" description="Соединение с запросом &quot;Лист1&quot; в книге." type="5" refreshedVersion="6" background="1" saveData="1">
    <dbPr connection="Provider=Microsoft.Mashup.OleDb.1;Data Source=$Workbook$;Location=Лист1;Extended Properties=&quot;&quot;" command="SELECT * FROM [Лист1]"/>
  </connection>
  <connection id="4" xr16:uid="{EDD0BA53-7C80-40F1-A336-5561AA8E5A63}" keepAlive="1" name="Запрос — Лист1 (2)" description="Соединение с запросом &quot;Лист1 (2)&quot; в книге." type="5" refreshedVersion="6" background="1" saveData="1">
    <dbPr connection="Provider=Microsoft.Mashup.OleDb.1;Data Source=$Workbook$;Location=Лист1 (2);Extended Properties=&quot;&quot;" command="SELECT * FROM [Лист1 (2)]"/>
  </connection>
  <connection id="5" xr16:uid="{0DE2B807-FCD0-4FE8-9409-BA439E0548A8}" keepAlive="1" name="Запрос — Лист1 (3)" description="Соединение с запросом &quot;Лист1 (3)&quot; в книге." type="5" refreshedVersion="6" background="1" saveData="1">
    <dbPr connection="Provider=Microsoft.Mashup.OleDb.1;Data Source=$Workbook$;Location=Лист1 (3);Extended Properties=&quot;&quot;" command="SELECT * FROM [Лист1 (3)]"/>
  </connection>
  <connection id="6" xr16:uid="{CBFE0C0B-212D-4846-87CA-5080751CE542}" keepAlive="1" name="Запрос — Лист1 (4)" description="Соединение с запросом &quot;Лист1 (4)&quot; в книге." type="5" refreshedVersion="6" background="1" saveData="1">
    <dbPr connection="Provider=Microsoft.Mashup.OleDb.1;Data Source=$Workbook$;Location=Лист1 (4);Extended Properties=&quot;&quot;" command="SELECT * FROM [Лист1 (4)]"/>
  </connection>
</connections>
</file>

<file path=xl/sharedStrings.xml><?xml version="1.0" encoding="utf-8"?>
<sst xmlns="http://schemas.openxmlformats.org/spreadsheetml/2006/main" count="7379" uniqueCount="109">
  <si>
    <t>В отдельных файлах приведены данные о работе магазинов игрушек</t>
  </si>
  <si>
    <t>Выбрать номер варианта в соответствие с номером по списку, выделить эту строку желтым в таблице.</t>
  </si>
  <si>
    <t>Скачать файл в свою папку, дав имя</t>
  </si>
  <si>
    <t>Имя файла : "Фамилия группа вариант"</t>
  </si>
  <si>
    <t>ПРИМЕР: Кошкин ФФ22-1 вариант 8</t>
  </si>
  <si>
    <t>Собрать все данные из папки Игрушки в этот файл с помощью Power Query. Вычислить необходимые по заданию показатели, если надо.</t>
  </si>
  <si>
    <t>Если данные собраны неправильно, дальнейшая проверка не производится</t>
  </si>
  <si>
    <t>Построить 2 информационные панели, отражающие деятельность магазинов.</t>
  </si>
  <si>
    <t>Состав панели определяется вариантом. Можно добавлять свои элементы.</t>
  </si>
  <si>
    <t>Все финансовые данные должны быть указаны с точностью до 1 рубля</t>
  </si>
  <si>
    <t>Все количественные данные должны быть указаны с точностью до 1 штуки</t>
  </si>
  <si>
    <t>Одна панель строится с использованием Excel</t>
  </si>
  <si>
    <t>Все процентные показатели должны быть указаны с точностью до 0,01%</t>
  </si>
  <si>
    <t>Аналогичная панель строится в DataLens</t>
  </si>
  <si>
    <t>ссылку на ДБ в DataLens положить сюда :</t>
  </si>
  <si>
    <t xml:space="preserve">Выполненную работу : </t>
  </si>
  <si>
    <t xml:space="preserve">положить в личную папку на диске О этот файл с выполненным в нём заданием </t>
  </si>
  <si>
    <t xml:space="preserve">не позже времени, предусмотренного регламентом </t>
  </si>
  <si>
    <t>объект</t>
  </si>
  <si>
    <t>Баллы</t>
  </si>
  <si>
    <t>сбор данных, вычисления</t>
  </si>
  <si>
    <t>срезы: наличие, правильное подключение</t>
  </si>
  <si>
    <t>графики: соблюдение правил</t>
  </si>
  <si>
    <t>1 KPI, 2 KPI, контрольный вопрос</t>
  </si>
  <si>
    <t>компоновка Дашборда, дизайн</t>
  </si>
  <si>
    <t>№ по списку</t>
  </si>
  <si>
    <t>1 обязательный график - динамика</t>
  </si>
  <si>
    <t xml:space="preserve">2 обязательный график - рейтинг </t>
  </si>
  <si>
    <t xml:space="preserve">3 обязательный график - доля </t>
  </si>
  <si>
    <t>4 обязательный график для Excel</t>
  </si>
  <si>
    <t xml:space="preserve">4 обязательный график для DataLensl </t>
  </si>
  <si>
    <t>1 KPI</t>
  </si>
  <si>
    <t>2 KPI для Excel</t>
  </si>
  <si>
    <t xml:space="preserve">2 для DataLensl Вкладка с таблицей </t>
  </si>
  <si>
    <t>контрольный вопрос</t>
  </si>
  <si>
    <t>общая выручка, число продаж, средний чек сделки</t>
  </si>
  <si>
    <t>магазины, менеджеры, товары по выручке, числу продаж, среднему чеку</t>
  </si>
  <si>
    <t>структура числа продаж  магазинов по менеджерам</t>
  </si>
  <si>
    <t xml:space="preserve"> 3.1 Определите на какую сумму в заданный отчетный  период был продан указанный в задании товар</t>
  </si>
  <si>
    <t>динамика продаж (выручка)</t>
  </si>
  <si>
    <t>магазинов по количеству продаж</t>
  </si>
  <si>
    <t>менеджеров в общей выручке</t>
  </si>
  <si>
    <t>ТОП-5 товаров по числу продаж</t>
  </si>
  <si>
    <t>лучший товар  по выручке с указанием названия, выручки и плана</t>
  </si>
  <si>
    <t>Какова доля выручки  магазина Детский мир в 2020 году по товату Домик для кукол ?</t>
  </si>
  <si>
    <t xml:space="preserve">3.2 Определите, какую долю эта сумма составляет от общего объема выручки за этот период </t>
  </si>
  <si>
    <t xml:space="preserve"> 3.3  Выведите фамилию менеджера, получившего за этот период наибольшую выручку от продажи указанного товара и эту сумму через срез.</t>
  </si>
  <si>
    <t>Товар</t>
  </si>
  <si>
    <t>Цена за шт., руб</t>
  </si>
  <si>
    <t>Медведь рыжий</t>
  </si>
  <si>
    <t>Медведь белый</t>
  </si>
  <si>
    <t>Медведь мягкий</t>
  </si>
  <si>
    <t>Мозаика</t>
  </si>
  <si>
    <t>Кукла Маша</t>
  </si>
  <si>
    <t>Кукла Даша</t>
  </si>
  <si>
    <t>Кукла Аленка</t>
  </si>
  <si>
    <t xml:space="preserve">Конструктор малый </t>
  </si>
  <si>
    <t>Конструктор большой</t>
  </si>
  <si>
    <t>Конструктор строительный</t>
  </si>
  <si>
    <t>Домик для куклы сборный</t>
  </si>
  <si>
    <t>Домик для куклы с мебелью</t>
  </si>
  <si>
    <t>Домик для куклы розовый</t>
  </si>
  <si>
    <t>Дата</t>
  </si>
  <si>
    <t>количество единиц товара</t>
  </si>
  <si>
    <t>выручка</t>
  </si>
  <si>
    <t>менеджер</t>
  </si>
  <si>
    <t>Иванисов Максим</t>
  </si>
  <si>
    <t>Немченко Дарья</t>
  </si>
  <si>
    <t>Загорский Глеб</t>
  </si>
  <si>
    <t>Родинов Илья</t>
  </si>
  <si>
    <t>Жиркова Ольга</t>
  </si>
  <si>
    <t>Усачев Михаил</t>
  </si>
  <si>
    <t>количество единиц</t>
  </si>
  <si>
    <t>Column6</t>
  </si>
  <si>
    <t>Column7</t>
  </si>
  <si>
    <t>Column8</t>
  </si>
  <si>
    <t>Column9</t>
  </si>
  <si>
    <t>Column10</t>
  </si>
  <si>
    <t>Column11</t>
  </si>
  <si>
    <t>Зайцев Кирилл</t>
  </si>
  <si>
    <t>Белоусова Валерия</t>
  </si>
  <si>
    <t>Ткачева Наталья</t>
  </si>
  <si>
    <t>Сумма по полю выручка</t>
  </si>
  <si>
    <t>Сумма по полю количество единиц товара</t>
  </si>
  <si>
    <t>Названия строк</t>
  </si>
  <si>
    <t>Общий итог</t>
  </si>
  <si>
    <t>2016</t>
  </si>
  <si>
    <t>2017</t>
  </si>
  <si>
    <t>2018</t>
  </si>
  <si>
    <t>2019</t>
  </si>
  <si>
    <t>2020</t>
  </si>
  <si>
    <t>2021</t>
  </si>
  <si>
    <t>магазин</t>
  </si>
  <si>
    <t>Детки-конфетки</t>
  </si>
  <si>
    <t>Детский мир</t>
  </si>
  <si>
    <t>Машенька</t>
  </si>
  <si>
    <t>Мир детства</t>
  </si>
  <si>
    <t>Названия столбцов</t>
  </si>
  <si>
    <t>количество_единиц_товара</t>
  </si>
  <si>
    <t>Сумма_по_полю_выручка</t>
  </si>
  <si>
    <t>Названия_строк</t>
  </si>
  <si>
    <t>Детский_мир</t>
  </si>
  <si>
    <t>Мир_детства</t>
  </si>
  <si>
    <t>Общий_итог</t>
  </si>
  <si>
    <t>Цена_за_шт.,_руб</t>
  </si>
  <si>
    <t>выполнение плана</t>
  </si>
  <si>
    <t>план по конструктору</t>
  </si>
  <si>
    <t>https://datalens.yandex/j15w3poobhta3</t>
  </si>
  <si>
    <t>доля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</si>
</sst>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#,##0.00\ &quot;₽&quot;"/>
    <numFmt numFmtId="166" formatCode="_-* #,##0.00\ [$₽-419]_-;\-* #,##0.00\ [$₽-419]_-;_-* &quot;-&quot;??\ [$₽-419]_-;_-@_-"/>
  </numFmts>
  <fonts count="15" x14ac:knownFonts="1">
    <font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4546A"/>
      <name val="Calibri"/>
      <family val="2"/>
      <charset val="1"/>
    </font>
    <font>
      <sz val="11"/>
      <color rgb="FF000000"/>
      <name val="Aptos Narrow"/>
      <family val="2"/>
      <charset val="1"/>
    </font>
    <font>
      <b/>
      <sz val="14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8"/>
      <color rgb="FFC00000"/>
      <name val="Calibri"/>
      <family val="2"/>
      <charset val="204"/>
    </font>
    <font>
      <b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b/>
      <sz val="10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b/>
      <sz val="14"/>
      <color rgb="FF000000"/>
      <name val="Aptos Narrow"/>
      <family val="2"/>
      <charset val="1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AE1D5"/>
        <bgColor rgb="FFE2F0D9"/>
      </patternFill>
    </fill>
    <fill>
      <patternFill patternType="solid">
        <fgColor rgb="FFFFFF99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EEBF7"/>
      </patternFill>
    </fill>
    <fill>
      <patternFill patternType="solid">
        <fgColor rgb="FFFFFF00"/>
        <bgColor rgb="FFDAE3F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>
      <alignment vertical="center" wrapText="1"/>
    </xf>
    <xf numFmtId="14" fontId="14" fillId="0" borderId="0" applyBorder="0" applyProtection="0"/>
    <xf numFmtId="164" fontId="1" fillId="2" borderId="1">
      <alignment horizontal="left" vertical="center"/>
    </xf>
    <xf numFmtId="0" fontId="2" fillId="0" borderId="0"/>
    <xf numFmtId="0" fontId="3" fillId="0" borderId="0">
      <alignment horizontal="left" vertical="center" wrapText="1"/>
    </xf>
  </cellStyleXfs>
  <cellXfs count="56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0" xfId="0" applyFont="1" applyFill="1"/>
    <xf numFmtId="0" fontId="6" fillId="6" borderId="0" xfId="0" applyFont="1" applyFill="1"/>
    <xf numFmtId="0" fontId="0" fillId="0" borderId="0" xfId="0"/>
    <xf numFmtId="0" fontId="6" fillId="0" borderId="0" xfId="0" applyFont="1"/>
    <xf numFmtId="0" fontId="4" fillId="0" borderId="0" xfId="0" applyFont="1" applyAlignment="1">
      <alignment vertical="center" wrapText="1"/>
    </xf>
    <xf numFmtId="0" fontId="5" fillId="7" borderId="3" xfId="0" applyFont="1" applyFill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top" wrapText="1"/>
    </xf>
    <xf numFmtId="0" fontId="0" fillId="0" borderId="0" xfId="0" applyBorder="1"/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5" xfId="0" applyFont="1" applyBorder="1"/>
    <xf numFmtId="0" fontId="10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6" xfId="0" applyFont="1" applyBorder="1"/>
    <xf numFmtId="0" fontId="0" fillId="0" borderId="0" xfId="0" applyFill="1"/>
    <xf numFmtId="0" fontId="8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2" fontId="0" fillId="8" borderId="0" xfId="0" applyNumberFormat="1" applyFill="1"/>
    <xf numFmtId="0" fontId="0" fillId="8" borderId="0" xfId="0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13" borderId="0" xfId="0" applyFill="1" applyAlignment="1">
      <alignment horizontal="left"/>
    </xf>
    <xf numFmtId="0" fontId="0" fillId="13" borderId="0" xfId="0" applyNumberFormat="1" applyFill="1"/>
    <xf numFmtId="0" fontId="0" fillId="13" borderId="0" xfId="0" applyFill="1"/>
    <xf numFmtId="10" fontId="0" fillId="13" borderId="0" xfId="0" applyNumberFormat="1" applyFill="1"/>
    <xf numFmtId="0" fontId="4" fillId="14" borderId="0" xfId="0" applyFont="1" applyFill="1" applyAlignment="1">
      <alignment vertical="center" wrapText="1"/>
    </xf>
    <xf numFmtId="0" fontId="0" fillId="14" borderId="0" xfId="0" applyFill="1"/>
    <xf numFmtId="10" fontId="0" fillId="14" borderId="0" xfId="0" applyNumberFormat="1" applyFill="1"/>
  </cellXfs>
  <cellStyles count="6">
    <cellStyle name="Автомобиль" xfId="1" xr:uid="{00000000-0005-0000-0000-000000000000}"/>
    <cellStyle name="Даты" xfId="2" xr:uid="{00000000-0005-0000-0000-000001000000}"/>
    <cellStyle name="Денежный 3" xfId="3" xr:uid="{00000000-0005-0000-0000-000002000000}"/>
    <cellStyle name="Обычный" xfId="0" builtinId="0"/>
    <cellStyle name="Обычный 2" xfId="4" xr:uid="{00000000-0005-0000-0000-000004000000}"/>
    <cellStyle name="Обычный 2 2" xfId="5" xr:uid="{00000000-0005-0000-0000-000005000000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fill>
        <patternFill patternType="solid">
          <fgColor indexed="64"/>
          <bgColor theme="8" tint="0.59999389629810485"/>
        </patternFill>
      </fill>
    </dxf>
    <dxf>
      <numFmt numFmtId="27" formatCode="dd/mm/yyyy\ h:mm"/>
    </dxf>
    <dxf>
      <fill>
        <patternFill patternType="solid">
          <fgColor indexed="64"/>
          <bgColor theme="8" tint="0.59999389629810485"/>
        </patternFill>
      </fill>
    </dxf>
    <dxf>
      <numFmt numFmtId="27" formatCode="dd/mm/yyyy\ h:mm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1D5"/>
      <rgbColor rgb="FFC8EDFB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microsoft.com/office/2007/relationships/slicerCache" Target="slicerCaches/slicerCache13.xml"/><Relationship Id="rId28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microsoft.com/office/2007/relationships/slicerCache" Target="slicerCaches/slicerCache1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[КР2_Верхотурова_вариант3.xlsx]Итоговая!Сводная таблица32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Итоговая!$K$1:$K$2</c:f>
              <c:strCache>
                <c:ptCount val="1"/>
                <c:pt idx="0">
                  <c:v>Детки-конфетки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Итоговая!$J$3:$J$9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Итоговая!$K$3:$K$9</c:f>
              <c:numCache>
                <c:formatCode>General</c:formatCode>
                <c:ptCount val="6"/>
                <c:pt idx="0">
                  <c:v>3058599</c:v>
                </c:pt>
                <c:pt idx="1">
                  <c:v>2936869</c:v>
                </c:pt>
                <c:pt idx="2">
                  <c:v>2156012</c:v>
                </c:pt>
                <c:pt idx="3">
                  <c:v>2513033</c:v>
                </c:pt>
                <c:pt idx="4">
                  <c:v>2218580</c:v>
                </c:pt>
                <c:pt idx="5">
                  <c:v>1542632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EA-48A9-98D7-E45F8B6741F1}"/>
            </c:ext>
          </c:extLst>
        </c:ser>
        <c:ser>
          <c:idx val="1"/>
          <c:order val="1"/>
          <c:tx>
            <c:strRef>
              <c:f>Итоговая!$L$1:$L$2</c:f>
              <c:strCache>
                <c:ptCount val="1"/>
                <c:pt idx="0">
                  <c:v>Детский_мир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Итоговая!$J$3:$J$9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Итоговая!$L$3:$L$9</c:f>
              <c:numCache>
                <c:formatCode>General</c:formatCode>
                <c:ptCount val="6"/>
                <c:pt idx="0">
                  <c:v>2373098</c:v>
                </c:pt>
                <c:pt idx="1">
                  <c:v>2571584</c:v>
                </c:pt>
                <c:pt idx="2">
                  <c:v>2656881</c:v>
                </c:pt>
                <c:pt idx="3">
                  <c:v>1990374</c:v>
                </c:pt>
                <c:pt idx="4">
                  <c:v>2710371</c:v>
                </c:pt>
                <c:pt idx="5">
                  <c:v>1974241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EA-48A9-98D7-E45F8B6741F1}"/>
            </c:ext>
          </c:extLst>
        </c:ser>
        <c:ser>
          <c:idx val="2"/>
          <c:order val="2"/>
          <c:tx>
            <c:strRef>
              <c:f>Итоговая!$M$1:$M$2</c:f>
              <c:strCache>
                <c:ptCount val="1"/>
                <c:pt idx="0">
                  <c:v>Машенька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Итоговая!$J$3:$J$9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Итоговая!$M$3:$M$9</c:f>
              <c:numCache>
                <c:formatCode>General</c:formatCode>
                <c:ptCount val="6"/>
                <c:pt idx="0">
                  <c:v>2244450</c:v>
                </c:pt>
                <c:pt idx="1">
                  <c:v>2423035</c:v>
                </c:pt>
                <c:pt idx="2">
                  <c:v>2553694</c:v>
                </c:pt>
                <c:pt idx="3">
                  <c:v>2680357</c:v>
                </c:pt>
                <c:pt idx="4">
                  <c:v>3387188</c:v>
                </c:pt>
                <c:pt idx="5">
                  <c:v>1356046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EA-48A9-98D7-E45F8B6741F1}"/>
            </c:ext>
          </c:extLst>
        </c:ser>
        <c:ser>
          <c:idx val="3"/>
          <c:order val="3"/>
          <c:tx>
            <c:strRef>
              <c:f>Итоговая!$N$1:$N$2</c:f>
              <c:strCache>
                <c:ptCount val="1"/>
                <c:pt idx="0">
                  <c:v>Мир_детства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Итоговая!$J$3:$J$9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Итоговая!$N$3:$N$9</c:f>
              <c:numCache>
                <c:formatCode>General</c:formatCode>
                <c:ptCount val="6"/>
                <c:pt idx="0">
                  <c:v>2373303</c:v>
                </c:pt>
                <c:pt idx="1">
                  <c:v>2329470</c:v>
                </c:pt>
                <c:pt idx="2">
                  <c:v>2481183</c:v>
                </c:pt>
                <c:pt idx="3">
                  <c:v>2030807</c:v>
                </c:pt>
                <c:pt idx="4">
                  <c:v>2385127</c:v>
                </c:pt>
                <c:pt idx="5">
                  <c:v>2342699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EA-48A9-98D7-E45F8B674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909487"/>
        <c:axId val="1712911887"/>
      </c:lineChart>
      <c:catAx>
        <c:axId val="171290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2911887"/>
        <c:crosses val="autoZero"/>
        <c:auto val="1"/>
        <c:lblAlgn val="ctr"/>
        <c:lblOffset val="100"/>
        <c:noMultiLvlLbl val="0"/>
      </c:catAx>
      <c:valAx>
        <c:axId val="1712911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 выручки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290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[КР2_Верхотурова_вариант3.xlsx]Итоговая!Сводная таблица33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 по количеству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Итоговая!$O$52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Итоговая!$N$53:$N$57</c:f>
              <c:strCache>
                <c:ptCount val="4"/>
                <c:pt idx="0">
                  <c:v>Мир детства</c:v>
                </c:pt>
                <c:pt idx="1">
                  <c:v>Детский мир</c:v>
                </c:pt>
                <c:pt idx="2">
                  <c:v>Детки-конфетки</c:v>
                </c:pt>
                <c:pt idx="3">
                  <c:v>Машенька</c:v>
                </c:pt>
              </c:strCache>
            </c:strRef>
          </c:cat>
          <c:val>
            <c:numRef>
              <c:f>Итоговая!$O$53:$O$57</c:f>
              <c:numCache>
                <c:formatCode>General</c:formatCode>
                <c:ptCount val="4"/>
                <c:pt idx="0">
                  <c:v>5377</c:v>
                </c:pt>
                <c:pt idx="1">
                  <c:v>5497</c:v>
                </c:pt>
                <c:pt idx="2">
                  <c:v>5528</c:v>
                </c:pt>
                <c:pt idx="3">
                  <c:v>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7-4718-96DD-B16E4CA69C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2292175"/>
        <c:axId val="1822301775"/>
      </c:barChart>
      <c:catAx>
        <c:axId val="1822292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магазин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2301775"/>
        <c:crosses val="autoZero"/>
        <c:auto val="1"/>
        <c:lblAlgn val="ctr"/>
        <c:lblOffset val="100"/>
        <c:noMultiLvlLbl val="0"/>
      </c:catAx>
      <c:valAx>
        <c:axId val="182230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единиц товара, шт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229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[КР2_Верхотурова_вариант3.xlsx]Итоговая!Сводная таблица34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Итоговая!$M$88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9C7-450B-AE51-470FC02A14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C7-450B-AE51-470FC02A14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9C7-450B-AE51-470FC02A14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C7-450B-AE51-470FC02A14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9C7-450B-AE51-470FC02A14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C7-450B-AE51-470FC02A14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9C7-450B-AE51-470FC02A14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C7-450B-AE51-470FC02A14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9C7-450B-AE51-470FC02A14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Итоговая!$L$89:$L$98</c:f>
              <c:strCache>
                <c:ptCount val="9"/>
                <c:pt idx="0">
                  <c:v>Белоусова Валерия</c:v>
                </c:pt>
                <c:pt idx="1">
                  <c:v>Жиркова Ольга</c:v>
                </c:pt>
                <c:pt idx="2">
                  <c:v>Загорский Глеб</c:v>
                </c:pt>
                <c:pt idx="3">
                  <c:v>Зайцев Кирилл</c:v>
                </c:pt>
                <c:pt idx="4">
                  <c:v>Иванисов Максим</c:v>
                </c:pt>
                <c:pt idx="5">
                  <c:v>Немченко Дарья</c:v>
                </c:pt>
                <c:pt idx="6">
                  <c:v>Родинов Илья</c:v>
                </c:pt>
                <c:pt idx="7">
                  <c:v>Ткачева Наталья</c:v>
                </c:pt>
                <c:pt idx="8">
                  <c:v>Усачев Михаил</c:v>
                </c:pt>
              </c:strCache>
            </c:strRef>
          </c:cat>
          <c:val>
            <c:numRef>
              <c:f>Итоговая!$M$89:$M$98</c:f>
              <c:numCache>
                <c:formatCode>0.00%</c:formatCode>
                <c:ptCount val="9"/>
                <c:pt idx="0">
                  <c:v>8.6053928814660063E-2</c:v>
                </c:pt>
                <c:pt idx="1">
                  <c:v>0.24008038243149507</c:v>
                </c:pt>
                <c:pt idx="2">
                  <c:v>7.2529125819325815E-2</c:v>
                </c:pt>
                <c:pt idx="3">
                  <c:v>7.2790464550540931E-2</c:v>
                </c:pt>
                <c:pt idx="4">
                  <c:v>8.506561736920186E-2</c:v>
                </c:pt>
                <c:pt idx="5">
                  <c:v>9.4208667735748985E-2</c:v>
                </c:pt>
                <c:pt idx="6">
                  <c:v>0.21098852212930042</c:v>
                </c:pt>
                <c:pt idx="7">
                  <c:v>8.4525798934686841E-2</c:v>
                </c:pt>
                <c:pt idx="8">
                  <c:v>5.3757492215040024E-2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7-450B-AE51-470FC02A14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[КР2_Верхотурова_вариант3.xlsx]Итоговая!Сводная таблица35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ТОП-5 товаров по числу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Итоговая!$M$124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Итоговая!$L$125:$L$130</c:f>
              <c:strCache>
                <c:ptCount val="5"/>
                <c:pt idx="0">
                  <c:v>Кукла Даша</c:v>
                </c:pt>
                <c:pt idx="1">
                  <c:v>Конструктор строительный</c:v>
                </c:pt>
                <c:pt idx="2">
                  <c:v>Медведь мягкий</c:v>
                </c:pt>
                <c:pt idx="3">
                  <c:v>Домик для куклы сборный</c:v>
                </c:pt>
                <c:pt idx="4">
                  <c:v>Мозаика</c:v>
                </c:pt>
              </c:strCache>
            </c:strRef>
          </c:cat>
          <c:val>
            <c:numRef>
              <c:f>Итоговая!$M$125:$M$130</c:f>
              <c:numCache>
                <c:formatCode>General</c:formatCode>
                <c:ptCount val="5"/>
                <c:pt idx="0">
                  <c:v>1823</c:v>
                </c:pt>
                <c:pt idx="1">
                  <c:v>2115</c:v>
                </c:pt>
                <c:pt idx="2">
                  <c:v>2425</c:v>
                </c:pt>
                <c:pt idx="3">
                  <c:v>2556</c:v>
                </c:pt>
                <c:pt idx="4">
                  <c:v>3520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8-478E-B3DF-E270114C78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4200735"/>
        <c:axId val="1784199295"/>
      </c:barChart>
      <c:catAx>
        <c:axId val="1784200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товара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4199295"/>
        <c:crosses val="autoZero"/>
        <c:auto val="1"/>
        <c:lblAlgn val="ctr"/>
        <c:lblOffset val="100"/>
        <c:noMultiLvlLbl val="0"/>
      </c:catAx>
      <c:valAx>
        <c:axId val="17841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продажнных, шт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420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114670</xdr:colOff>
      <xdr:row>15</xdr:row>
      <xdr:rowOff>19234</xdr:rowOff>
    </xdr:from>
    <xdr:to>
      <xdr:col>12</xdr:col>
      <xdr:colOff>511629</xdr:colOff>
      <xdr:row>34</xdr:row>
      <xdr:rowOff>163285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4BA7F8F-4802-5400-37FD-ACB8D2077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256316</xdr:colOff>
      <xdr:row>35</xdr:row>
      <xdr:rowOff>24535</xdr:rowOff>
    </xdr:from>
    <xdr:to>
      <xdr:col>7</xdr:col>
      <xdr:colOff>494127</xdr:colOff>
      <xdr:row>48</xdr:row>
      <xdr:rowOff>96653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магазин">
              <a:extLst>
                <a:ext uri="{FF2B5EF4-FFF2-40B4-BE49-F238E27FC236}">
                  <a16:creationId xmlns:a16="http://schemas.microsoft.com/office/drawing/2014/main" id="{70807FD9-B395-5A03-0E03-7DFE7498E0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агази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1999" y="6529413"/>
              <a:ext cx="1826860" cy="2488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485168</xdr:colOff>
      <xdr:row>35</xdr:row>
      <xdr:rowOff>60793</xdr:rowOff>
    </xdr:from>
    <xdr:to>
      <xdr:col>12</xdr:col>
      <xdr:colOff>771873</xdr:colOff>
      <xdr:row>48</xdr:row>
      <xdr:rowOff>132911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Месяцы (Дата)">
              <a:extLst>
                <a:ext uri="{FF2B5EF4-FFF2-40B4-BE49-F238E27FC236}">
                  <a16:creationId xmlns:a16="http://schemas.microsoft.com/office/drawing/2014/main" id="{A9F5C6D2-DF21-1CB1-D736-243E08C84F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ы (Дат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65656" y="6565671"/>
              <a:ext cx="1828800" cy="2488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186480</xdr:colOff>
      <xdr:row>35</xdr:row>
      <xdr:rowOff>63557</xdr:rowOff>
    </xdr:from>
    <xdr:to>
      <xdr:col>11</xdr:col>
      <xdr:colOff>507808</xdr:colOff>
      <xdr:row>48</xdr:row>
      <xdr:rowOff>135675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Кварталы (Дата)">
              <a:extLst>
                <a:ext uri="{FF2B5EF4-FFF2-40B4-BE49-F238E27FC236}">
                  <a16:creationId xmlns:a16="http://schemas.microsoft.com/office/drawing/2014/main" id="{5EB2BF86-F0B5-E35F-1675-0765FA4D6E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варталы (Дат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9334" y="6568435"/>
              <a:ext cx="1828698" cy="2488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540937</xdr:colOff>
      <xdr:row>35</xdr:row>
      <xdr:rowOff>41199</xdr:rowOff>
    </xdr:from>
    <xdr:to>
      <xdr:col>8</xdr:col>
      <xdr:colOff>563386</xdr:colOff>
      <xdr:row>48</xdr:row>
      <xdr:rowOff>113317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Годы (Дата)">
              <a:extLst>
                <a:ext uri="{FF2B5EF4-FFF2-40B4-BE49-F238E27FC236}">
                  <a16:creationId xmlns:a16="http://schemas.microsoft.com/office/drawing/2014/main" id="{190969CE-A84E-E250-0396-42200615D4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5669" y="6546077"/>
              <a:ext cx="1817669" cy="2488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6</xdr:col>
      <xdr:colOff>238933</xdr:colOff>
      <xdr:row>49</xdr:row>
      <xdr:rowOff>100738</xdr:rowOff>
    </xdr:from>
    <xdr:to>
      <xdr:col>12</xdr:col>
      <xdr:colOff>12915</xdr:colOff>
      <xdr:row>71</xdr:row>
      <xdr:rowOff>12914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6209013F-7151-EB0E-BCF3-6A175AA11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307030</xdr:colOff>
      <xdr:row>71</xdr:row>
      <xdr:rowOff>167268</xdr:rowOff>
    </xdr:from>
    <xdr:to>
      <xdr:col>7</xdr:col>
      <xdr:colOff>546781</xdr:colOff>
      <xdr:row>85</xdr:row>
      <xdr:rowOff>32292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Товар">
              <a:extLst>
                <a:ext uri="{FF2B5EF4-FFF2-40B4-BE49-F238E27FC236}">
                  <a16:creationId xmlns:a16="http://schemas.microsoft.com/office/drawing/2014/main" id="{54D777F3-D1B7-145B-F774-D4278786F1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2713" y="133628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619821</xdr:colOff>
      <xdr:row>71</xdr:row>
      <xdr:rowOff>173401</xdr:rowOff>
    </xdr:from>
    <xdr:to>
      <xdr:col>12</xdr:col>
      <xdr:colOff>119093</xdr:colOff>
      <xdr:row>85</xdr:row>
      <xdr:rowOff>38425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Кварталы (Дата) 1">
              <a:extLst>
                <a:ext uri="{FF2B5EF4-FFF2-40B4-BE49-F238E27FC236}">
                  <a16:creationId xmlns:a16="http://schemas.microsoft.com/office/drawing/2014/main" id="{604E98B8-5F34-51D1-5AD1-B5B4FBAB23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варталы (Дата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2675" y="13369011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783931</xdr:colOff>
      <xdr:row>72</xdr:row>
      <xdr:rowOff>2974</xdr:rowOff>
    </xdr:from>
    <xdr:to>
      <xdr:col>8</xdr:col>
      <xdr:colOff>814289</xdr:colOff>
      <xdr:row>85</xdr:row>
      <xdr:rowOff>53851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Годы (Дата) 1">
              <a:extLst>
                <a:ext uri="{FF2B5EF4-FFF2-40B4-BE49-F238E27FC236}">
                  <a16:creationId xmlns:a16="http://schemas.microsoft.com/office/drawing/2014/main" id="{EF845057-FB3D-85DC-D707-8938D5FEC7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8663" y="1338443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6</xdr:col>
      <xdr:colOff>355840</xdr:colOff>
      <xdr:row>86</xdr:row>
      <xdr:rowOff>51758</xdr:rowOff>
    </xdr:from>
    <xdr:to>
      <xdr:col>10</xdr:col>
      <xdr:colOff>1258019</xdr:colOff>
      <xdr:row>107</xdr:row>
      <xdr:rowOff>64698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6FED645B-1520-DE91-76BD-08371AFB7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389770</xdr:colOff>
      <xdr:row>108</xdr:row>
      <xdr:rowOff>13659</xdr:rowOff>
    </xdr:from>
    <xdr:to>
      <xdr:col>7</xdr:col>
      <xdr:colOff>622683</xdr:colOff>
      <xdr:row>121</xdr:row>
      <xdr:rowOff>144313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магазин 1">
              <a:extLst>
                <a:ext uri="{FF2B5EF4-FFF2-40B4-BE49-F238E27FC236}">
                  <a16:creationId xmlns:a16="http://schemas.microsoft.com/office/drawing/2014/main" id="{529509C4-8CA1-C9CE-AC32-6B415813C2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агазин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5453" y="20085854"/>
              <a:ext cx="1821962" cy="25467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6</xdr:col>
      <xdr:colOff>370975</xdr:colOff>
      <xdr:row>122</xdr:row>
      <xdr:rowOff>102269</xdr:rowOff>
    </xdr:from>
    <xdr:to>
      <xdr:col>10</xdr:col>
      <xdr:colOff>1213184</xdr:colOff>
      <xdr:row>141</xdr:row>
      <xdr:rowOff>90237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D172A6D8-FC13-EF1D-CC55-F836F9EA9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397897</xdr:colOff>
      <xdr:row>142</xdr:row>
      <xdr:rowOff>20540</xdr:rowOff>
    </xdr:from>
    <xdr:to>
      <xdr:col>7</xdr:col>
      <xdr:colOff>636436</xdr:colOff>
      <xdr:row>155</xdr:row>
      <xdr:rowOff>118689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магазин 2">
              <a:extLst>
                <a:ext uri="{FF2B5EF4-FFF2-40B4-BE49-F238E27FC236}">
                  <a16:creationId xmlns:a16="http://schemas.microsoft.com/office/drawing/2014/main" id="{62C6F798-A10C-9FFF-84B6-1624AF7CB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агазин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3580" y="26411760"/>
              <a:ext cx="1827588" cy="25142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778566</xdr:colOff>
      <xdr:row>142</xdr:row>
      <xdr:rowOff>20210</xdr:rowOff>
    </xdr:from>
    <xdr:to>
      <xdr:col>8</xdr:col>
      <xdr:colOff>805894</xdr:colOff>
      <xdr:row>155</xdr:row>
      <xdr:rowOff>118359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Годы (Дата) 2">
              <a:extLst>
                <a:ext uri="{FF2B5EF4-FFF2-40B4-BE49-F238E27FC236}">
                  <a16:creationId xmlns:a16="http://schemas.microsoft.com/office/drawing/2014/main" id="{D6889BAB-0C8E-099E-90D5-9678FC1BB5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3298" y="26411430"/>
              <a:ext cx="1825770" cy="25142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1556752</xdr:colOff>
      <xdr:row>184</xdr:row>
      <xdr:rowOff>55881</xdr:rowOff>
    </xdr:from>
    <xdr:to>
      <xdr:col>7</xdr:col>
      <xdr:colOff>1794710</xdr:colOff>
      <xdr:row>197</xdr:row>
      <xdr:rowOff>176698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Товар 1">
              <a:extLst>
                <a:ext uri="{FF2B5EF4-FFF2-40B4-BE49-F238E27FC236}">
                  <a16:creationId xmlns:a16="http://schemas.microsoft.com/office/drawing/2014/main" id="{1C362FE8-625A-5352-5ABF-6121D4866C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1392" y="34284921"/>
              <a:ext cx="1838158" cy="24982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38233</xdr:colOff>
      <xdr:row>184</xdr:row>
      <xdr:rowOff>141571</xdr:rowOff>
    </xdr:from>
    <xdr:to>
      <xdr:col>9</xdr:col>
      <xdr:colOff>470033</xdr:colOff>
      <xdr:row>198</xdr:row>
      <xdr:rowOff>81914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магазин 3">
              <a:extLst>
                <a:ext uri="{FF2B5EF4-FFF2-40B4-BE49-F238E27FC236}">
                  <a16:creationId xmlns:a16="http://schemas.microsoft.com/office/drawing/2014/main" id="{FEA93A06-5685-10D0-7671-EF38818B42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агазин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6633" y="34370611"/>
              <a:ext cx="1833880" cy="2500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540753</xdr:colOff>
      <xdr:row>184</xdr:row>
      <xdr:rowOff>159084</xdr:rowOff>
    </xdr:from>
    <xdr:to>
      <xdr:col>12</xdr:col>
      <xdr:colOff>36764</xdr:colOff>
      <xdr:row>198</xdr:row>
      <xdr:rowOff>99427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Годы (Дата) 3">
              <a:extLst>
                <a:ext uri="{FF2B5EF4-FFF2-40B4-BE49-F238E27FC236}">
                  <a16:creationId xmlns:a16="http://schemas.microsoft.com/office/drawing/2014/main" id="{1F299601-8D0B-1907-FA4E-B94B3B5A06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)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1233" y="34388124"/>
              <a:ext cx="1827731" cy="2500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ерхотурова" refreshedDate="46177.904065740739" createdVersion="8" refreshedVersion="8" minRefreshableVersion="3" recordCount="899" xr:uid="{7C3AD47F-DDEB-470B-B741-816B25067FE4}">
  <cacheSource type="worksheet">
    <worksheetSource name="Добавить1"/>
  </cacheSource>
  <cacheFields count="9">
    <cacheField name="Дата" numFmtId="22">
      <sharedItems containsSemiMixedTypes="0" containsNonDate="0" containsDate="1" containsString="0" minDate="2016-01-13T05:16:14" maxDate="2021-09-30T23:43:20" count="899">
        <d v="2016-01-13T05:16:14"/>
        <d v="2016-01-23T00:20:22"/>
        <d v="2016-01-25T15:15:00"/>
        <d v="2016-01-27T01:15:45"/>
        <d v="2016-02-03T17:07:43"/>
        <d v="2016-02-07T22:44:29"/>
        <d v="2016-02-22T22:18:46"/>
        <d v="2016-03-01T21:57:37"/>
        <d v="2016-03-10T15:59:31"/>
        <d v="2016-04-07T23:39:31"/>
        <d v="2016-04-15T06:29:27"/>
        <d v="2016-04-19T15:49:52"/>
        <d v="2016-04-20T16:43:46"/>
        <d v="2016-04-23T07:48:23"/>
        <d v="2016-05-05T15:46:39"/>
        <d v="2016-05-23T12:56:38"/>
        <d v="2016-06-03T06:03:28"/>
        <d v="2016-06-11T00:22:11"/>
        <d v="2016-06-15T05:51:11"/>
        <d v="2016-06-19T18:54:57"/>
        <d v="2016-06-30T08:29:56"/>
        <d v="2016-07-07T02:52:50"/>
        <d v="2016-07-07T20:52:32"/>
        <d v="2016-07-16T17:57:59"/>
        <d v="2016-07-31T10:07:27"/>
        <d v="2016-08-11T14:16:27"/>
        <d v="2016-08-15T08:48:46"/>
        <d v="2016-08-21T11:53:59"/>
        <d v="2016-09-01T23:26:30"/>
        <d v="2016-09-12T14:16:12"/>
        <d v="2016-09-30T10:35:11"/>
        <d v="2016-10-04T17:12:47"/>
        <d v="2016-10-12T22:09:14"/>
        <d v="2016-10-14T04:43:19"/>
        <d v="2016-10-20T07:02:12"/>
        <d v="2016-10-28T03:56:01"/>
        <d v="2016-10-31T09:36:25"/>
        <d v="2016-11-13T18:06:33"/>
        <d v="2016-11-24T08:52:10"/>
        <d v="2016-12-18T12:24:27"/>
        <d v="2016-12-21T19:10:04"/>
        <d v="2017-01-05T03:02:20"/>
        <d v="2017-01-09T21:34:45"/>
        <d v="2017-01-13T09:46:15"/>
        <d v="2017-01-19T12:52:02"/>
        <d v="2017-02-13T16:58:10"/>
        <d v="2017-02-17T11:32:46"/>
        <d v="2017-02-19T14:30:31"/>
        <d v="2017-03-03T16:28:17"/>
        <d v="2017-03-21T16:14:03"/>
        <d v="2017-03-22T23:55:11"/>
        <d v="2017-03-23T22:46:13"/>
        <d v="2017-04-02T08:04:38"/>
        <d v="2017-04-05T19:19:13"/>
        <d v="2017-04-08T16:00:20"/>
        <d v="2017-04-13T07:30:50"/>
        <d v="2017-04-16T18:43:49"/>
        <d v="2017-04-20T17:59:38"/>
        <d v="2017-04-21T11:13:58"/>
        <d v="2017-05-10T12:19:04"/>
        <d v="2017-05-20T15:56:22"/>
        <d v="2017-05-24T04:17:10"/>
        <d v="2017-05-30T10:08:34"/>
        <d v="2017-06-06T02:20:14"/>
        <d v="2017-06-08T21:06:31"/>
        <d v="2017-06-13T07:07:10"/>
        <d v="2017-06-15T02:49:29"/>
        <d v="2017-06-20T18:28:09"/>
        <d v="2017-06-28T05:56:59"/>
        <d v="2017-07-30T22:17:09"/>
        <d v="2017-08-16T09:51:41"/>
        <d v="2017-08-16T20:03:41"/>
        <d v="2017-09-26T12:21:27"/>
        <d v="2017-10-11T02:03:24"/>
        <d v="2017-10-11T09:17:40"/>
        <d v="2017-10-24T10:37:11"/>
        <d v="2017-10-25T00:04:17"/>
        <d v="2017-10-27T22:20:57"/>
        <d v="2017-10-30T09:47:39"/>
        <d v="2017-11-11T09:55:02"/>
        <d v="2017-12-06T17:46:35"/>
        <d v="2017-12-06T22:20:45"/>
        <d v="2017-12-24T23:04:13"/>
        <d v="2017-12-27T18:07:46"/>
        <d v="2018-01-03T12:37:06"/>
        <d v="2018-01-12T02:08:42"/>
        <d v="2018-01-17T10:35:38"/>
        <d v="2018-02-05T07:58:20"/>
        <d v="2018-02-14T23:31:55"/>
        <d v="2018-02-15T04:45:14"/>
        <d v="2018-02-20T03:25:38"/>
        <d v="2018-03-04T23:50:22"/>
        <d v="2018-03-05T22:21:22"/>
        <d v="2018-03-20T10:32:44"/>
        <d v="2018-03-24T14:03:54"/>
        <d v="2018-03-28T18:03:24"/>
        <d v="2018-04-05T02:22:49"/>
        <d v="2018-04-13T10:01:05"/>
        <d v="2018-04-29T12:59:29"/>
        <d v="2018-05-10T11:39:06"/>
        <d v="2018-05-14T20:47:09"/>
        <d v="2018-05-17T08:39:46"/>
        <d v="2018-05-29T19:48:36"/>
        <d v="2018-05-30T20:00:10"/>
        <d v="2018-06-08T21:50:27"/>
        <d v="2018-07-03T03:30:03"/>
        <d v="2018-07-03T16:31:42"/>
        <d v="2018-07-06T12:31:50"/>
        <d v="2018-07-06T20:38:00"/>
        <d v="2018-07-19T16:46:30"/>
        <d v="2018-07-26T13:57:37"/>
        <d v="2018-07-29T05:10:18"/>
        <d v="2018-08-20T15:56:07"/>
        <d v="2018-09-02T14:44:23"/>
        <d v="2018-09-12T18:40:12"/>
        <d v="2018-09-20T01:51:45"/>
        <d v="2018-10-25T02:09:52"/>
        <d v="2018-10-25T11:42:46"/>
        <d v="2018-10-30T04:48:30"/>
        <d v="2018-11-02T23:09:29"/>
        <d v="2018-11-03T07:50:32"/>
        <d v="2018-11-04T06:16:17"/>
        <d v="2018-11-28T04:35:25"/>
        <d v="2018-12-03T05:41:56"/>
        <d v="2018-12-19T13:14:37"/>
        <d v="2018-12-19T21:09:43"/>
        <d v="2018-12-27T16:11:51"/>
        <d v="2019-01-09T09:49:58"/>
        <d v="2019-01-19T07:10:20"/>
        <d v="2019-01-23T04:02:02"/>
        <d v="2019-01-27T16:24:04"/>
        <d v="2019-02-15T10:46:11"/>
        <d v="2019-02-18T08:42:31"/>
        <d v="2019-03-07T02:52:18"/>
        <d v="2019-03-17T19:16:56"/>
        <d v="2019-03-27T19:58:12"/>
        <d v="2019-03-30T03:33:04"/>
        <d v="2019-04-05T07:18:07"/>
        <d v="2019-04-10T22:23:00"/>
        <d v="2019-04-13T06:05:29"/>
        <d v="2019-04-28T21:36:35"/>
        <d v="2019-05-01T04:28:52"/>
        <d v="2019-05-10T02:40:07"/>
        <d v="2019-05-17T08:02:21"/>
        <d v="2019-06-02T07:57:32"/>
        <d v="2019-06-14T14:39:01"/>
        <d v="2019-06-19T19:39:49"/>
        <d v="2019-06-25T01:52:35"/>
        <d v="2019-06-27T22:27:10"/>
        <d v="2019-07-13T10:21:44"/>
        <d v="2019-07-16T03:18:09"/>
        <d v="2019-07-26T21:12:00"/>
        <d v="2019-07-30T19:28:17"/>
        <d v="2019-08-08T14:15:30"/>
        <d v="2019-08-19T06:43:25"/>
        <d v="2019-09-17T02:17:18"/>
        <d v="2019-09-17T13:06:24"/>
        <d v="2019-09-21T12:12:41"/>
        <d v="2019-10-04T19:30:58"/>
        <d v="2019-10-10T17:21:34"/>
        <d v="2019-10-14T08:23:59"/>
        <d v="2019-11-07T13:22:13"/>
        <d v="2019-12-11T02:53:52"/>
        <d v="2019-12-20T02:14:46"/>
        <d v="2019-12-23T00:40:58"/>
        <d v="2020-01-03T00:39:02"/>
        <d v="2020-01-06T06:12:34"/>
        <d v="2020-02-12T13:35:30"/>
        <d v="2020-02-21T02:09:13"/>
        <d v="2020-02-21T09:20:58"/>
        <d v="2020-02-27T13:50:24"/>
        <d v="2020-03-10T01:20:58"/>
        <d v="2020-03-11T17:58:26"/>
        <d v="2020-03-24T01:00:21"/>
        <d v="2020-04-08T05:50:36"/>
        <d v="2020-04-24T15:22:37"/>
        <d v="2020-05-23T08:10:46"/>
        <d v="2020-05-30T13:04:31"/>
        <d v="2020-06-03T05:10:21"/>
        <d v="2020-06-17T15:46:37"/>
        <d v="2020-07-21T14:27:42"/>
        <d v="2020-07-24T11:31:35"/>
        <d v="2020-08-07T09:37:57"/>
        <d v="2020-08-12T22:49:16"/>
        <d v="2020-09-11T16:14:08"/>
        <d v="2020-09-15T12:46:32"/>
        <d v="2020-09-23T02:57:28"/>
        <d v="2020-10-14T09:42:10"/>
        <d v="2020-10-29T06:58:12"/>
        <d v="2020-11-03T15:19:12"/>
        <d v="2020-11-11T23:48:40"/>
        <d v="2020-11-17T11:39:45"/>
        <d v="2020-11-27T22:40:40"/>
        <d v="2020-12-08T18:00:04"/>
        <d v="2021-01-16T14:48:36"/>
        <d v="2021-01-26T09:25:01"/>
        <d v="2021-01-27T20:14:25"/>
        <d v="2021-03-04T18:26:37"/>
        <d v="2021-03-13T14:48:40"/>
        <d v="2021-03-23T03:41:04"/>
        <d v="2021-03-28T05:59:01"/>
        <d v="2021-04-02T11:07:36"/>
        <d v="2021-04-11T20:08:17"/>
        <d v="2021-04-14T21:44:56"/>
        <d v="2021-04-27T03:39:40"/>
        <d v="2021-05-04T20:22:15"/>
        <d v="2021-05-05T09:29:58"/>
        <d v="2021-05-10T23:36:45"/>
        <d v="2021-05-15T15:51:49"/>
        <d v="2021-05-22T16:02:02"/>
        <d v="2021-06-01T05:26:42"/>
        <d v="2021-06-02T12:07:11"/>
        <d v="2021-07-17T05:16:35"/>
        <d v="2021-07-28T21:33:24"/>
        <d v="2021-07-30T13:17:10"/>
        <d v="2021-08-06T05:07:44"/>
        <d v="2021-08-06T20:51:00"/>
        <d v="2021-08-08T02:33:49"/>
        <d v="2021-08-15T12:05:18"/>
        <d v="2021-08-24T22:23:59"/>
        <d v="2021-09-01T05:49:18"/>
        <d v="2021-09-08T03:17:13"/>
        <d v="2021-09-10T21:31:31"/>
        <d v="2016-01-16T00:48:13"/>
        <d v="2016-01-26T13:15:25"/>
        <d v="2016-01-29T18:35:11"/>
        <d v="2016-02-05T10:54:53"/>
        <d v="2016-02-08T22:53:36"/>
        <d v="2016-02-12T18:18:23"/>
        <d v="2016-02-26T04:29:42"/>
        <d v="2016-03-11T05:30:58"/>
        <d v="2016-03-22T23:19:28"/>
        <d v="2016-04-04T03:44:30"/>
        <d v="2016-04-07T02:41:20"/>
        <d v="2016-04-22T20:23:51"/>
        <d v="2016-04-27T15:48:32"/>
        <d v="2016-05-03T12:56:41"/>
        <d v="2016-05-11T04:50:00"/>
        <d v="2016-05-14T03:10:56"/>
        <d v="2016-05-20T12:13:41"/>
        <d v="2016-05-22T10:14:59"/>
        <d v="2016-05-31T05:31:32"/>
        <d v="2016-06-14T04:37:59"/>
        <d v="2016-06-18T02:17:35"/>
        <d v="2016-07-02T10:49:33"/>
        <d v="2016-07-05T06:58:03"/>
        <d v="2016-07-22T14:29:30"/>
        <d v="2016-08-28T15:54:22"/>
        <d v="2016-09-08T07:54:53"/>
        <d v="2016-09-19T19:18:57"/>
        <d v="2016-09-24T01:39:34"/>
        <d v="2016-10-04T21:01:59"/>
        <d v="2016-10-10T02:50:53"/>
        <d v="2016-10-10T19:12:13"/>
        <d v="2016-11-06T12:45:19"/>
        <d v="2016-11-06T20:19:49"/>
        <d v="2016-11-21T20:56:39"/>
        <d v="2016-11-23T11:17:51"/>
        <d v="2016-12-03T00:29:01"/>
        <d v="2016-12-06T01:56:43"/>
        <d v="2016-12-07T11:51:19"/>
        <d v="2016-12-11T00:38:04"/>
        <d v="2016-12-13T08:21:28"/>
        <d v="2016-12-21T06:04:09"/>
        <d v="2017-01-05T17:19:19"/>
        <d v="2017-01-17T12:24:29"/>
        <d v="2017-01-23T00:11:46"/>
        <d v="2017-01-23T15:05:04"/>
        <d v="2017-01-24T17:07:50"/>
        <d v="2017-03-07T11:58:45"/>
        <d v="2017-03-09T19:05:14"/>
        <d v="2017-04-03T10:53:58"/>
        <d v="2017-04-04T06:10:11"/>
        <d v="2017-05-01T19:46:32"/>
        <d v="2017-05-06T02:23:20"/>
        <d v="2017-05-16T18:31:54"/>
        <d v="2017-05-21T14:29:02"/>
        <d v="2017-05-22T06:57:58"/>
        <d v="2017-05-29T22:03:47"/>
        <d v="2017-06-01T23:01:17"/>
        <d v="2017-06-04T21:50:04"/>
        <d v="2017-06-22T04:27:09"/>
        <d v="2017-07-13T18:12:30"/>
        <d v="2017-07-19T10:00:10"/>
        <d v="2017-07-22T23:10:44"/>
        <d v="2017-07-31T18:40:46"/>
        <d v="2017-08-09T04:25:13"/>
        <d v="2017-08-13T06:27:21"/>
        <d v="2017-08-22T17:09:05"/>
        <d v="2017-08-24T03:17:59"/>
        <d v="2017-08-26T02:33:13"/>
        <d v="2017-09-04T19:45:45"/>
        <d v="2017-09-08T11:21:40"/>
        <d v="2017-09-14T14:53:42"/>
        <d v="2017-10-01T23:57:54"/>
        <d v="2017-10-07T11:32:24"/>
        <d v="2017-10-15T10:06:23"/>
        <d v="2017-10-31T10:12:19"/>
        <d v="2017-11-13T15:21:59"/>
        <d v="2017-11-16T06:08:34"/>
        <d v="2017-11-19T00:59:51"/>
        <d v="2017-11-25T18:43:13"/>
        <d v="2017-12-09T08:06:06"/>
        <d v="2017-12-18T18:18:57"/>
        <d v="2017-12-29T22:49:34"/>
        <d v="2017-12-30T10:16:19"/>
        <d v="2018-01-07T17:06:57"/>
        <d v="2018-01-22T09:29:50"/>
        <d v="2018-01-24T02:44:41"/>
        <d v="2018-02-04T12:53:42"/>
        <d v="2018-02-04T14:09:29"/>
        <d v="2018-02-24T03:27:19"/>
        <d v="2018-02-25T11:43:45"/>
        <d v="2018-03-03T02:10:19"/>
        <d v="2018-03-30T19:04:45"/>
        <d v="2018-04-04T13:27:12"/>
        <d v="2018-04-05T11:33:45"/>
        <d v="2018-04-09T05:20:30"/>
        <d v="2018-04-22T05:46:10"/>
        <d v="2018-05-08T23:05:36"/>
        <d v="2018-05-11T04:37:39"/>
        <d v="2018-05-18T21:33:03"/>
        <d v="2018-05-30T08:06:17"/>
        <d v="2018-05-30T14:10:19"/>
        <d v="2018-06-01T12:15:34"/>
        <d v="2018-06-21T20:47:18"/>
        <d v="2018-06-28T23:08:52"/>
        <d v="2018-07-09T12:02:43"/>
        <d v="2018-07-12T21:18:07"/>
        <d v="2018-07-15T15:36:44"/>
        <d v="2018-08-02T05:35:48"/>
        <d v="2018-08-12T12:30:35"/>
        <d v="2018-08-14T10:22:22"/>
        <d v="2018-08-26T05:54:33"/>
        <d v="2018-08-30T04:43:02"/>
        <d v="2018-09-08T16:07:02"/>
        <d v="2018-09-20T23:21:43"/>
        <d v="2018-10-06T10:58:33"/>
        <d v="2018-10-10T08:18:07"/>
        <d v="2018-10-18T19:47:59"/>
        <d v="2018-10-23T23:38:03"/>
        <d v="2018-11-04T15:32:16"/>
        <d v="2018-11-08T17:56:05"/>
        <d v="2018-11-19T19:16:14"/>
        <d v="2018-12-23T04:52:21"/>
        <d v="2019-01-01T19:47:24"/>
        <d v="2019-01-07T17:59:17"/>
        <d v="2019-01-31T19:49:31"/>
        <d v="2019-02-08T12:52:03"/>
        <d v="2019-03-03T04:54:34"/>
        <d v="2019-03-13T17:13:30"/>
        <d v="2019-03-21T18:09:32"/>
        <d v="2019-03-23T10:10:11"/>
        <d v="2019-04-21T20:04:55"/>
        <d v="2019-04-21T23:53:17"/>
        <d v="2019-05-06T22:53:02"/>
        <d v="2019-06-09T08:31:18"/>
        <d v="2019-06-12T13:43:34"/>
        <d v="2019-07-01T10:08:14"/>
        <d v="2019-07-02T19:55:06"/>
        <d v="2019-07-28T03:45:56"/>
        <d v="2019-08-07T20:25:24"/>
        <d v="2019-09-30T13:30:39"/>
        <d v="2019-10-03T08:50:57"/>
        <d v="2019-10-03T10:13:08"/>
        <d v="2019-10-12T23:51:26"/>
        <d v="2019-10-25T00:21:30"/>
        <d v="2019-11-11T01:25:18"/>
        <d v="2019-12-02T16:07:15"/>
        <d v="2019-12-05T06:55:01"/>
        <d v="2019-12-09T14:37:41"/>
        <d v="2019-12-13T11:44:26"/>
        <d v="2019-12-17T13:21:48"/>
        <d v="2019-12-27T08:30:48"/>
        <d v="2019-12-27T21:07:44"/>
        <d v="2019-12-31T03:14:28"/>
        <d v="2020-01-07T03:13:10"/>
        <d v="2020-01-09T13:20:25"/>
        <d v="2020-01-14T12:03:01"/>
        <d v="2020-01-18T18:10:15"/>
        <d v="2020-01-22T08:12:05"/>
        <d v="2020-01-27T18:53:29"/>
        <d v="2020-01-30T10:28:32"/>
        <d v="2020-02-10T08:23:04"/>
        <d v="2020-02-17T23:10:33"/>
        <d v="2020-02-29T19:00:27"/>
        <d v="2020-03-15T07:24:57"/>
        <d v="2020-03-19T04:50:14"/>
        <d v="2020-03-19T22:48:10"/>
        <d v="2020-03-20T22:39:28"/>
        <d v="2020-04-26T01:34:16"/>
        <d v="2020-04-26T15:42:30"/>
        <d v="2020-05-01T19:05:37"/>
        <d v="2020-05-07T02:40:45"/>
        <d v="2020-05-09T21:19:06"/>
        <d v="2020-05-11T11:20:26"/>
        <d v="2020-05-24T15:08:53"/>
        <d v="2020-05-27T11:58:38"/>
        <d v="2020-05-29T20:31:50"/>
        <d v="2020-06-26T16:43:02"/>
        <d v="2020-06-29T05:26:23"/>
        <d v="2020-07-08T23:44:20"/>
        <d v="2020-07-25T21:43:45"/>
        <d v="2020-07-28T15:58:22"/>
        <d v="2020-08-15T09:16:22"/>
        <d v="2020-08-20T00:48:58"/>
        <d v="2020-08-29T21:21:08"/>
        <d v="2020-09-25T01:43:56"/>
        <d v="2020-10-04T08:34:05"/>
        <d v="2020-10-05T22:38:37"/>
        <d v="2020-10-11T14:50:05"/>
        <d v="2020-10-18T13:47:48"/>
        <d v="2020-10-25T05:50:21"/>
        <d v="2020-11-21T10:58:48"/>
        <d v="2020-11-25T22:14:39"/>
        <d v="2020-11-26T15:34:49"/>
        <d v="2020-12-13T05:11:19"/>
        <d v="2020-12-19T10:16:35"/>
        <d v="2020-12-22T12:34:20"/>
        <d v="2020-12-24T00:28:36"/>
        <d v="2020-12-30T14:58:33"/>
        <d v="2021-01-07T00:36:40"/>
        <d v="2021-01-09T04:30:01"/>
        <d v="2021-01-11T20:40:00"/>
        <d v="2021-01-22T23:50:26"/>
        <d v="2021-02-15T02:58:04"/>
        <d v="2021-02-18T23:52:44"/>
        <d v="2021-02-20T15:11:21"/>
        <d v="2021-02-28T10:37:39"/>
        <d v="2021-03-19T05:52:03"/>
        <d v="2021-03-29T15:18:58"/>
        <d v="2021-03-30T04:46:17"/>
        <d v="2021-04-09T20:17:59"/>
        <d v="2021-04-17T03:37:20"/>
        <d v="2021-04-24T22:12:38"/>
        <d v="2021-04-30T06:37:55"/>
        <d v="2021-05-01T04:26:11"/>
        <d v="2021-05-13T23:42:55"/>
        <d v="2021-05-15T04:51:57"/>
        <d v="2021-05-17T17:24:52"/>
        <d v="2021-05-21T20:50:54"/>
        <d v="2021-05-26T05:49:23"/>
        <d v="2021-05-27T10:14:25"/>
        <d v="2021-05-28T07:16:03"/>
        <d v="2021-06-06T18:41:16"/>
        <d v="2021-06-08T14:41:44"/>
        <d v="2021-06-18T14:41:23"/>
        <d v="2021-07-05T05:10:03"/>
        <d v="2021-07-05T13:19:08"/>
        <d v="2021-07-20T01:46:08"/>
        <d v="2021-07-20T20:22:14"/>
        <d v="2021-07-21T19:13:23"/>
        <d v="2021-08-19T06:43:04"/>
        <d v="2021-08-20T08:30:13"/>
        <d v="2016-02-04T15:34:07"/>
        <d v="2016-02-13T01:55:28"/>
        <d v="2016-02-17T13:45:57"/>
        <d v="2016-02-18T17:22:51"/>
        <d v="2016-02-29T11:55:18"/>
        <d v="2016-03-09T12:40:36"/>
        <d v="2016-03-15T16:53:01"/>
        <d v="2016-03-20T04:25:33"/>
        <d v="2016-03-28T15:46:37"/>
        <d v="2016-03-31T18:55:24"/>
        <d v="2016-04-02T17:13:51"/>
        <d v="2016-04-12T11:37:16"/>
        <d v="2016-04-13T04:29:33"/>
        <d v="2016-04-26T08:03:12"/>
        <d v="2016-04-27T07:44:20"/>
        <d v="2016-05-14T13:49:32"/>
        <d v="2016-05-16T02:23:44"/>
        <d v="2016-05-18T13:51:10"/>
        <d v="2016-05-29T16:04:44"/>
        <d v="2016-05-30T10:52:31"/>
        <d v="2016-06-18T19:09:39"/>
        <d v="2016-06-25T08:30:17"/>
        <d v="2016-06-25T13:51:09"/>
        <d v="2016-06-28T06:22:21"/>
        <d v="2016-07-10T17:46:08"/>
        <d v="2016-07-18T19:05:46"/>
        <d v="2016-07-21T15:26:50"/>
        <d v="2016-07-25T14:32:07"/>
        <d v="2016-07-28T12:26:09"/>
        <d v="2016-08-03T06:11:12"/>
        <d v="2016-08-08T10:36:49"/>
        <d v="2016-08-20T02:32:17"/>
        <d v="2016-09-16T12:34:59"/>
        <d v="2016-10-07T04:24:45"/>
        <d v="2016-10-14T17:10:16"/>
        <d v="2016-10-16T14:24:45"/>
        <d v="2016-10-22T01:39:25"/>
        <d v="2016-10-22T18:51:30"/>
        <d v="2016-11-05T03:17:39"/>
        <d v="2016-11-26T07:47:20"/>
        <d v="2016-11-30T07:48:31"/>
        <d v="2016-12-18T03:34:21"/>
        <d v="2016-12-25T17:16:30"/>
        <d v="2016-12-28T15:42:05"/>
        <d v="2017-01-24T19:44:51"/>
        <d v="2017-02-03T15:58:01"/>
        <d v="2017-02-07T01:30:39"/>
        <d v="2017-02-17T02:58:50"/>
        <d v="2017-02-19T11:04:21"/>
        <d v="2017-02-23T16:17:54"/>
        <d v="2017-03-03T11:10:37"/>
        <d v="2017-03-21T03:30:15"/>
        <d v="2017-03-21T05:22:56"/>
        <d v="2017-03-28T02:17:22"/>
        <d v="2017-04-18T00:50:35"/>
        <d v="2017-04-28T11:46:24"/>
        <d v="2017-05-19T01:02:58"/>
        <d v="2017-05-19T04:44:13"/>
        <d v="2017-05-21T03:58:34"/>
        <d v="2017-05-26T04:37:02"/>
        <d v="2017-06-02T06:00:04"/>
        <d v="2017-06-08T04:09:55"/>
        <d v="2017-06-30T20:51:56"/>
        <d v="2017-07-03T13:05:44"/>
        <d v="2017-07-05T21:31:28"/>
        <d v="2017-07-10T01:42:37"/>
        <d v="2017-07-27T05:19:29"/>
        <d v="2017-08-04T22:02:54"/>
        <d v="2017-08-12T12:35:51"/>
        <d v="2017-08-13T23:39:16"/>
        <d v="2017-08-29T11:05:09"/>
        <d v="2017-08-30T00:20:26"/>
        <d v="2017-09-02T14:12:50"/>
        <d v="2017-09-12T12:54:51"/>
        <d v="2017-09-19T15:27:52"/>
        <d v="2017-09-21T20:45:34"/>
        <d v="2017-09-28T07:35:26"/>
        <d v="2017-10-07T13:23:48"/>
        <d v="2017-10-12T20:48:05"/>
        <d v="2017-10-20T08:02:18"/>
        <d v="2017-11-29T13:40:44"/>
        <d v="2017-12-06T20:25:59"/>
        <d v="2017-12-17T07:30:11"/>
        <d v="2017-12-22T06:50:03"/>
        <d v="2018-01-07T04:04:54"/>
        <d v="2018-01-07T18:20:59"/>
        <d v="2018-01-27T20:01:28"/>
        <d v="2018-02-09T11:25:12"/>
        <d v="2018-02-10T13:39:05"/>
        <d v="2018-02-14T02:44:09"/>
        <d v="2018-02-16T17:27:43"/>
        <d v="2018-03-05T03:18:20"/>
        <d v="2018-03-08T14:39:39"/>
        <d v="2018-03-19T22:25:03"/>
        <d v="2018-04-29T00:34:37"/>
        <d v="2018-05-20T20:53:16"/>
        <d v="2018-05-25T07:09:25"/>
        <d v="2018-05-28T06:33:43"/>
        <d v="2018-06-07T11:07:32"/>
        <d v="2018-06-16T10:13:37"/>
        <d v="2018-06-25T10:35:03"/>
        <d v="2018-07-01T03:44:35"/>
        <d v="2018-07-13T03:34:35"/>
        <d v="2018-07-26T18:34:23"/>
        <d v="2018-08-06T06:42:27"/>
        <d v="2018-08-08T17:40:53"/>
        <d v="2018-08-15T22:56:25"/>
        <d v="2018-08-23T03:22:51"/>
        <d v="2018-09-06T19:51:56"/>
        <d v="2018-09-07T10:01:14"/>
        <d v="2018-09-28T20:58:59"/>
        <d v="2018-10-07T03:08:35"/>
        <d v="2018-10-16T20:12:24"/>
        <d v="2018-10-20T07:06:53"/>
        <d v="2018-11-01T11:10:58"/>
        <d v="2018-11-22T07:46:52"/>
        <d v="2018-12-04T20:38:21"/>
        <d v="2018-12-13T02:42:30"/>
        <d v="2018-12-27T05:41:40"/>
        <d v="2019-01-11T20:01:50"/>
        <d v="2019-02-03T18:48:20"/>
        <d v="2019-02-07T19:53:06"/>
        <d v="2019-02-12T19:45:07"/>
        <d v="2019-02-22T02:39:42"/>
        <d v="2019-02-27T09:31:31"/>
        <d v="2019-03-09T05:23:47"/>
        <d v="2019-03-18T05:34:32"/>
        <d v="2019-04-01T23:13:11"/>
        <d v="2019-04-15T23:58:09"/>
        <d v="2019-04-18T13:45:32"/>
        <d v="2019-04-25T20:41:57"/>
        <d v="2019-05-21T10:10:38"/>
        <d v="2019-05-25T19:27:23"/>
        <d v="2019-06-21T14:05:51"/>
        <d v="2019-06-23T05:01:13"/>
        <d v="2019-07-19T00:32:48"/>
        <d v="2019-07-22T14:45:05"/>
        <d v="2019-07-24T09:41:42"/>
        <d v="2019-07-27T15:11:36"/>
        <d v="2019-07-31T21:45:53"/>
        <d v="2019-08-04T07:38:13"/>
        <d v="2019-08-05T09:31:36"/>
        <d v="2019-08-11T23:17:48"/>
        <d v="2019-08-21T09:12:53"/>
        <d v="2019-08-23T18:18:17"/>
        <d v="2019-08-27T05:49:32"/>
        <d v="2019-09-03T02:19:56"/>
        <d v="2019-09-25T11:21:36"/>
        <d v="2019-10-17T22:14:25"/>
        <d v="2019-11-08T09:29:24"/>
        <d v="2019-11-18T17:31:46"/>
        <d v="2019-11-19T21:45:53"/>
        <d v="2019-11-30T02:43:01"/>
        <d v="2019-12-12T18:02:09"/>
        <d v="2020-01-10T07:34:31"/>
        <d v="2020-01-26T06:51:04"/>
        <d v="2020-01-27T17:26:16"/>
        <d v="2020-02-07T05:17:17"/>
        <d v="2020-02-09T14:30:13"/>
        <d v="2020-02-16T08:11:55"/>
        <d v="2020-02-23T03:08:09"/>
        <d v="2020-02-28T00:35:26"/>
        <d v="2020-03-04T01:13:56"/>
        <d v="2020-03-04T16:39:22"/>
        <d v="2020-03-07T00:19:22"/>
        <d v="2020-03-14T11:25:05"/>
        <d v="2020-03-27T09:30:26"/>
        <d v="2020-04-02T19:58:47"/>
        <d v="2020-04-06T02:55:12"/>
        <d v="2020-04-12T10:58:40"/>
        <d v="2020-04-18T06:59:47"/>
        <d v="2020-04-20T03:25:14"/>
        <d v="2020-04-28T15:33:51"/>
        <d v="2020-05-08T21:44:14"/>
        <d v="2020-05-19T15:53:53"/>
        <d v="2020-06-03T21:22:19"/>
        <d v="2020-06-13T13:17:12"/>
        <d v="2020-07-07T03:27:19"/>
        <d v="2020-07-11T07:15:13"/>
        <d v="2020-07-14T21:35:19"/>
        <d v="2020-07-22T16:48:12"/>
        <d v="2020-07-26T21:33:13"/>
        <d v="2020-08-09T18:03:57"/>
        <d v="2020-08-17T03:43:27"/>
        <d v="2020-09-03T06:32:46"/>
        <d v="2020-09-08T00:48:58"/>
        <d v="2020-09-15T08:19:23"/>
        <d v="2020-09-17T14:41:30"/>
        <d v="2020-09-19T18:08:01"/>
        <d v="2020-10-05T09:26:33"/>
        <d v="2020-10-13T23:18:30"/>
        <d v="2020-10-15T20:38:06"/>
        <d v="2020-10-26T10:01:54"/>
        <d v="2020-11-03T23:16:37"/>
        <d v="2020-11-07T10:04:07"/>
        <d v="2020-11-09T17:00:17"/>
        <d v="2020-11-18T09:00:26"/>
        <d v="2020-12-01T18:20:16"/>
        <d v="2020-12-03T08:55:47"/>
        <d v="2020-12-07T18:59:23"/>
        <d v="2020-12-26T13:51:39"/>
        <d v="2021-01-03T20:07:18"/>
        <d v="2021-01-14T21:56:52"/>
        <d v="2021-01-19T02:08:18"/>
        <d v="2021-01-31T11:28:20"/>
        <d v="2021-02-09T19:44:39"/>
        <d v="2021-02-14T09:13:34"/>
        <d v="2021-02-20T20:34:24"/>
        <d v="2021-03-24T00:35:02"/>
        <d v="2021-03-31T10:25:05"/>
        <d v="2021-04-17T00:28:17"/>
        <d v="2021-04-18T20:32:29"/>
        <d v="2021-04-23T00:09:33"/>
        <d v="2021-05-01T07:56:21"/>
        <d v="2021-05-09T11:48:41"/>
        <d v="2021-05-31T23:09:09"/>
        <d v="2021-06-12T01:09:30"/>
        <d v="2021-06-21T18:16:14"/>
        <d v="2021-07-09T02:05:42"/>
        <d v="2021-07-23T23:54:55"/>
        <d v="2021-07-27T00:44:08"/>
        <d v="2021-08-03T07:32:17"/>
        <d v="2021-08-10T01:45:19"/>
        <d v="2021-08-13T19:41:16"/>
        <d v="2021-08-28T02:08:01"/>
        <d v="2016-01-17T11:55:03"/>
        <d v="2016-01-20T11:51:53"/>
        <d v="2016-01-21T15:33:14"/>
        <d v="2016-01-31T08:05:56"/>
        <d v="2016-02-23T20:17:14"/>
        <d v="2016-03-06T03:57:36"/>
        <d v="2016-03-27T06:54:47"/>
        <d v="2016-04-14T16:12:00"/>
        <d v="2016-04-30T11:17:51"/>
        <d v="2016-05-06T04:45:50"/>
        <d v="2016-05-07T01:49:54"/>
        <d v="2016-05-25T08:42:02"/>
        <d v="2016-05-25T13:19:56"/>
        <d v="2016-06-03T05:35:10"/>
        <d v="2016-06-07T08:51:32"/>
        <d v="2016-06-24T05:56:38"/>
        <d v="2016-07-13T22:17:04"/>
        <d v="2016-07-24T00:33:44"/>
        <d v="2016-07-25T18:30:41"/>
        <d v="2016-08-07T02:24:36"/>
        <d v="2016-08-15T20:38:18"/>
        <d v="2016-08-19T11:03:48"/>
        <d v="2016-08-25T00:21:00"/>
        <d v="2016-09-05T09:29:23"/>
        <d v="2016-09-26T22:11:03"/>
        <d v="2016-10-15T18:40:13"/>
        <d v="2016-10-16T03:56:12"/>
        <d v="2016-10-22T15:59:01"/>
        <d v="2016-10-24T16:06:05"/>
        <d v="2016-11-04T19:43:31"/>
        <d v="2016-11-11T00:21:46"/>
        <d v="2016-11-13T21:49:08"/>
        <d v="2016-11-18T02:42:59"/>
        <d v="2016-12-12T19:36:03"/>
        <d v="2016-12-14T08:47:12"/>
        <d v="2017-01-01T22:59:48"/>
        <d v="2017-01-08T11:51:14"/>
        <d v="2017-01-28T02:06:10"/>
        <d v="2017-01-31T20:59:47"/>
        <d v="2017-02-11T00:53:01"/>
        <d v="2017-02-12T21:24:28"/>
        <d v="2017-02-16T07:30:11"/>
        <d v="2017-02-20T07:12:40"/>
        <d v="2017-02-27T15:03:21"/>
        <d v="2017-03-02T06:13:23"/>
        <d v="2017-03-13T18:08:20"/>
        <d v="2017-03-17T02:09:11"/>
        <d v="2017-03-29T23:08:17"/>
        <d v="2017-04-13T02:30:23"/>
        <d v="2017-04-13T18:59:26"/>
        <d v="2017-04-15T18:33:49"/>
        <d v="2017-04-25T11:25:26"/>
        <d v="2017-04-27T08:11:36"/>
        <d v="2017-05-14T16:35:27"/>
        <d v="2017-06-06T02:18:12"/>
        <d v="2017-06-13T06:41:19"/>
        <d v="2017-06-16T11:55:51"/>
        <d v="2017-06-20T00:43:49"/>
        <d v="2017-06-25T00:23:04"/>
        <d v="2017-07-16T12:16:12"/>
        <d v="2017-08-11T02:48:10"/>
        <d v="2017-08-19T00:31:40"/>
        <d v="2017-09-16T19:12:38"/>
        <d v="2017-09-22T00:21:49"/>
        <d v="2017-09-26T20:18:01"/>
        <d v="2017-09-30T01:25:29"/>
        <d v="2017-10-04T14:10:17"/>
        <d v="2017-10-16T11:45:28"/>
        <d v="2017-11-03T01:59:24"/>
        <d v="2017-11-07T08:04:59"/>
        <d v="2017-11-22T23:51:00"/>
        <d v="2017-12-02T19:26:15"/>
        <d v="2017-12-08T11:23:20"/>
        <d v="2017-12-13T17:12:26"/>
        <d v="2018-01-06T23:17:57"/>
        <d v="2018-01-15T15:15:22"/>
        <d v="2018-01-21T21:38:32"/>
        <d v="2018-01-31T04:36:17"/>
        <d v="2018-02-09T18:45:40"/>
        <d v="2018-02-20T03:54:53"/>
        <d v="2018-02-26T17:37:32"/>
        <d v="2018-02-28T15:46:07"/>
        <d v="2018-03-11T01:03:48"/>
        <d v="2018-03-15T11:12:02"/>
        <d v="2018-04-03T05:31:25"/>
        <d v="2018-04-17T21:05:17"/>
        <d v="2018-04-26T12:25:26"/>
        <d v="2018-04-29T12:11:07"/>
        <d v="2018-05-03T05:14:03"/>
        <d v="2018-05-04T20:13:36"/>
        <d v="2018-05-07T03:33:32"/>
        <d v="2018-06-03T06:56:12"/>
        <d v="2018-06-08T03:23:43"/>
        <d v="2018-06-12T15:14:14"/>
        <d v="2018-06-19T16:57:45"/>
        <d v="2018-07-16T04:53:26"/>
        <d v="2018-07-17T19:31:09"/>
        <d v="2018-07-22T06:17:07"/>
        <d v="2018-08-19T09:47:19"/>
        <d v="2018-09-15T19:22:46"/>
        <d v="2018-09-24T16:24:08"/>
        <d v="2018-09-30T18:46:54"/>
        <d v="2018-10-03T01:15:48"/>
        <d v="2018-10-08T03:36:03"/>
        <d v="2018-10-11T17:26:47"/>
        <d v="2018-10-14T01:36:11"/>
        <d v="2018-10-29T13:23:18"/>
        <d v="2018-11-10T03:32:59"/>
        <d v="2018-11-12T08:22:34"/>
        <d v="2018-11-16T15:29:21"/>
        <d v="2018-11-25T23:27:22"/>
        <d v="2018-11-30T23:52:09"/>
        <d v="2018-12-09T00:14:16"/>
        <d v="2018-12-16T08:49:00"/>
        <d v="2018-12-30T11:00:24"/>
        <d v="2019-01-02T12:03:25"/>
        <d v="2019-01-05T18:04:55"/>
        <d v="2019-01-15T00:00:19"/>
        <d v="2019-01-24T11:53:03"/>
        <d v="2019-02-25T10:20:52"/>
        <d v="2019-03-24T00:01:19"/>
        <d v="2019-04-07T14:10:59"/>
        <d v="2019-04-14T20:18:18"/>
        <d v="2019-05-03T01:52:01"/>
        <d v="2019-05-14T06:57:21"/>
        <d v="2019-05-29T13:57:13"/>
        <d v="2019-06-05T03:17:33"/>
        <d v="2019-06-16T11:46:46"/>
        <d v="2019-07-06T11:53:09"/>
        <d v="2019-07-09T14:12:39"/>
        <d v="2019-07-21T07:51:48"/>
        <d v="2019-07-22T02:47:09"/>
        <d v="2019-08-16T02:17:56"/>
        <d v="2019-08-23T16:37:28"/>
        <d v="2019-08-31T12:47:36"/>
        <d v="2019-08-31T14:31:39"/>
        <d v="2019-09-03T15:45:41"/>
        <d v="2019-09-06T22:03:41"/>
        <d v="2019-09-11T07:51:27"/>
        <d v="2019-09-15T16:21:49"/>
        <d v="2019-09-18T10:13:39"/>
        <d v="2019-09-29T14:15:27"/>
        <d v="2019-10-06T17:16:50"/>
        <d v="2019-10-19T20:25:16"/>
        <d v="2019-10-22T12:27:33"/>
        <d v="2019-10-26T13:30:10"/>
        <d v="2019-10-30T10:06:13"/>
        <d v="2019-11-03T04:53:15"/>
        <d v="2019-11-15T08:16:05"/>
        <d v="2019-11-23T18:44:50"/>
        <d v="2019-11-27T21:58:42"/>
        <d v="2020-02-03T21:13:18"/>
        <d v="2020-03-09T16:40:38"/>
        <d v="2020-03-12T22:03:12"/>
        <d v="2020-03-25T10:53:52"/>
        <d v="2020-03-30T06:36:21"/>
        <d v="2020-04-15T03:00:54"/>
        <d v="2020-04-18T09:38:41"/>
        <d v="2020-05-05T11:48:29"/>
        <d v="2020-05-15T11:56:59"/>
        <d v="2020-05-18T23:34:57"/>
        <d v="2020-06-04T10:16:23"/>
        <d v="2020-06-07T08:31:43"/>
        <d v="2020-06-08T11:00:05"/>
        <d v="2020-06-09T19:59:08"/>
        <d v="2020-06-19T10:45:18"/>
        <d v="2020-06-22T05:18:45"/>
        <d v="2020-06-26T19:29:52"/>
        <d v="2020-07-03T10:03:59"/>
        <d v="2020-07-18T06:56:33"/>
        <d v="2020-07-29T14:54:23"/>
        <d v="2020-08-02T22:08:08"/>
        <d v="2020-08-09T16:30:28"/>
        <d v="2020-08-23T01:13:17"/>
        <d v="2020-08-26T16:42:05"/>
        <d v="2020-09-07T14:55:44"/>
        <d v="2020-09-28T15:37:32"/>
        <d v="2020-10-03T03:16:47"/>
        <d v="2020-10-06T00:45:38"/>
        <d v="2020-10-08T13:31:33"/>
        <d v="2020-10-09T08:03:41"/>
        <d v="2020-10-13T08:18:06"/>
        <d v="2020-10-22T13:30:59"/>
        <d v="2020-11-02T15:54:17"/>
        <d v="2020-11-13T07:31:53"/>
        <d v="2020-12-15T22:16:58"/>
        <d v="2020-12-29T11:58:07"/>
        <d v="2021-01-21T12:59:43"/>
        <d v="2021-02-02T12:59:53"/>
        <d v="2021-02-05T10:49:13"/>
        <d v="2021-02-10T16:27:56"/>
        <d v="2021-02-25T00:38:50"/>
        <d v="2021-03-05T08:03:06"/>
        <d v="2021-03-09T17:04:30"/>
        <d v="2021-03-10T12:52:16"/>
        <d v="2021-03-16T16:30:53"/>
        <d v="2021-03-19T04:41:23"/>
        <d v="2021-03-20T07:15:00"/>
        <d v="2021-03-28T03:27:57"/>
        <d v="2021-03-31T07:40:13"/>
        <d v="2021-04-06T16:54:36"/>
        <d v="2021-05-07T01:51:43"/>
        <d v="2021-05-14T10:39:55"/>
        <d v="2021-05-31T03:50:24"/>
        <d v="2021-06-07T23:55:35"/>
        <d v="2021-06-13T18:34:26"/>
        <d v="2021-06-16T10:27:54"/>
        <d v="2021-06-25T01:16:49"/>
        <d v="2021-06-26T17:03:39"/>
        <d v="2021-07-01T04:52:44"/>
        <d v="2021-07-10T14:12:16"/>
        <d v="2021-07-14T00:28:17"/>
        <d v="2021-08-18T08:23:37"/>
        <d v="2021-08-21T06:03:11"/>
        <d v="2021-09-04T10:48:08"/>
        <d v="2021-09-13T15:16:58"/>
        <d v="2021-09-21T06:32:21"/>
        <d v="2021-09-23T10:10:23"/>
        <d v="2021-09-26T21:55:36"/>
        <d v="2021-09-30T23:43:20"/>
      </sharedItems>
      <fieldGroup par="8"/>
    </cacheField>
    <cacheField name="Товар" numFmtId="0">
      <sharedItems count="13">
        <s v="Мозаика"/>
        <s v="Конструктор строительный"/>
        <s v="Медведь мягкий"/>
        <s v="Кукла Маша"/>
        <s v="Конструктор малый "/>
        <s v="Медведь рыжий"/>
        <s v="Домик для куклы сборный"/>
        <s v="Кукла Даша"/>
        <s v="Медведь белый"/>
        <s v="Домик для куклы розовый"/>
        <s v="Домик для куклы с мебелью"/>
        <s v="Кукла Аленка"/>
        <s v="Конструктор большой"/>
      </sharedItems>
    </cacheField>
    <cacheField name="количество единиц товара" numFmtId="0">
      <sharedItems containsSemiMixedTypes="0" containsString="0" containsNumber="1" containsInteger="1" minValue="10" maxValue="40" count="31">
        <n v="13"/>
        <n v="14"/>
        <n v="38"/>
        <n v="35"/>
        <n v="29"/>
        <n v="26"/>
        <n v="23"/>
        <n v="22"/>
        <n v="10"/>
        <n v="39"/>
        <n v="28"/>
        <n v="12"/>
        <n v="16"/>
        <n v="37"/>
        <n v="27"/>
        <n v="36"/>
        <n v="17"/>
        <n v="15"/>
        <n v="33"/>
        <n v="18"/>
        <n v="40"/>
        <n v="25"/>
        <n v="30"/>
        <n v="21"/>
        <n v="11"/>
        <n v="32"/>
        <n v="24"/>
        <n v="20"/>
        <n v="19"/>
        <n v="31"/>
        <n v="34"/>
      </sharedItems>
    </cacheField>
    <cacheField name="выручка" numFmtId="0">
      <sharedItems containsSemiMixedTypes="0" containsString="0" containsNumber="1" containsInteger="1" minValue="6800" maxValue="225771" count="309">
        <n v="8840"/>
        <n v="62370"/>
        <n v="97280"/>
        <n v="155925"/>
        <n v="51852"/>
        <n v="66560"/>
        <n v="15640"/>
        <n v="35200"/>
        <n v="89900"/>
        <n v="16000"/>
        <n v="26520"/>
        <n v="14960"/>
        <n v="28000"/>
        <n v="68600"/>
        <n v="68200"/>
        <n v="48400"/>
        <n v="120900"/>
        <n v="41640"/>
        <n v="40960"/>
        <n v="164835"/>
        <n v="66150"/>
        <n v="208404"/>
        <n v="90650"/>
        <n v="98413"/>
        <n v="78000"/>
        <n v="70000"/>
        <n v="69120"/>
        <n v="162000"/>
        <n v="56940"/>
        <n v="80850"/>
        <n v="80190"/>
        <n v="52000"/>
        <n v="102400"/>
        <n v="111375"/>
        <n v="157500"/>
        <n v="173745"/>
        <n v="20400"/>
        <n v="56000"/>
        <n v="77000"/>
        <n v="18360"/>
        <n v="53760"/>
        <n v="73500"/>
        <n v="49005"/>
        <n v="34100"/>
        <n v="53460"/>
        <n v="38400"/>
        <n v="52700"/>
        <n v="133147"/>
        <n v="166500"/>
        <n v="72600"/>
        <n v="71300"/>
        <n v="56350"/>
        <n v="28160"/>
        <n v="74000"/>
        <n v="98010"/>
        <n v="142560"/>
        <n v="99840"/>
        <n v="31850"/>
        <n v="14280"/>
        <n v="74400"/>
        <n v="23244"/>
        <n v="117000"/>
        <n v="51200"/>
        <n v="44000"/>
        <n v="147015"/>
        <n v="132860"/>
        <n v="175500"/>
        <n v="16320"/>
        <n v="52800"/>
        <n v="72870"/>
        <n v="71050"/>
        <n v="28608"/>
        <n v="94900"/>
        <n v="48640"/>
        <n v="10200"/>
        <n v="26400"/>
        <n v="57600"/>
        <n v="25160"/>
        <n v="39600"/>
        <n v="202615"/>
        <n v="55800"/>
        <n v="48000"/>
        <n v="115830"/>
        <n v="79360"/>
        <n v="32000"/>
        <n v="62580"/>
        <n v="43520"/>
        <n v="173670"/>
        <n v="37400"/>
        <n v="83300"/>
        <n v="42912"/>
        <n v="9520"/>
        <n v="156303"/>
        <n v="25032"/>
        <n v="22000"/>
        <n v="12240"/>
        <n v="20800"/>
        <n v="50600"/>
        <n v="90220"/>
        <n v="46400"/>
        <n v="58880"/>
        <n v="102465"/>
        <n v="49600"/>
        <n v="6800"/>
        <n v="53900"/>
        <n v="87040"/>
        <n v="108500"/>
        <n v="104100"/>
        <n v="17680"/>
        <n v="81920"/>
        <n v="81046"/>
        <n v="58990"/>
        <n v="59200"/>
        <n v="81400"/>
        <n v="27200"/>
        <n v="89100"/>
        <n v="34000"/>
        <n v="79200"/>
        <n v="124740"/>
        <n v="191037"/>
        <n v="93690"/>
        <n v="17000"/>
        <n v="103500"/>
        <n v="56320"/>
        <n v="74800"/>
        <n v="58800"/>
        <n v="94720"/>
        <n v="62000"/>
        <n v="10880"/>
        <n v="113880"/>
        <n v="63800"/>
        <n v="50000"/>
        <n v="23120"/>
        <n v="115780"/>
        <n v="85750"/>
        <n v="107570"/>
        <n v="117980"/>
        <n v="63700"/>
        <n v="64368"/>
        <n v="58900"/>
        <n v="19200"/>
        <n v="43400"/>
        <n v="24480"/>
        <n v="100630"/>
        <n v="63000"/>
        <n v="42000"/>
        <n v="90000"/>
        <n v="26820"/>
        <n v="40000"/>
        <n v="54000"/>
        <n v="13600"/>
        <n v="36750"/>
        <n v="23800"/>
        <n v="11560"/>
        <n v="111040"/>
        <n v="25600"/>
        <n v="60000"/>
        <n v="7480"/>
        <n v="21760"/>
        <n v="71520"/>
        <n v="54400"/>
        <n v="30800"/>
        <n v="133650"/>
        <n v="68000"/>
        <n v="150514"/>
        <n v="57915"/>
        <n v="36000"/>
        <n v="92160"/>
        <n v="139500"/>
        <n v="50064"/>
        <n v="144725"/>
        <n v="34300"/>
        <n v="38170"/>
        <n v="46200"/>
        <n v="48580"/>
        <n v="21080"/>
        <n v="19040"/>
        <n v="94500"/>
        <n v="49500"/>
        <n v="64000"/>
        <n v="67944"/>
        <n v="74240"/>
        <n v="112500"/>
        <n v="80000"/>
        <n v="33280"/>
        <n v="83700"/>
        <n v="57216"/>
        <n v="65100"/>
        <n v="144000"/>
        <n v="88200"/>
        <n v="138105"/>
        <n v="17600"/>
        <n v="138936"/>
        <n v="148500"/>
        <n v="71680"/>
        <n v="85500"/>
        <n v="93555"/>
        <n v="219982"/>
        <n v="77500"/>
        <n v="24200"/>
        <n v="79810"/>
        <n v="30720"/>
        <n v="214193"/>
        <n v="24000"/>
        <n v="30400"/>
        <n v="58000"/>
        <n v="111600"/>
        <n v="41650"/>
        <n v="71280"/>
        <n v="61250"/>
        <n v="26950"/>
        <n v="33972"/>
        <n v="124000"/>
        <n v="19720"/>
        <n v="46000"/>
        <n v="8160"/>
        <n v="33600"/>
        <n v="68328"/>
        <n v="75257"/>
        <n v="127358"/>
        <n v="22440"/>
        <n v="75735"/>
        <n v="35840"/>
        <n v="120285"/>
        <n v="62460"/>
        <n v="85800"/>
        <n v="98000"/>
        <n v="38000"/>
        <n v="28800"/>
        <n v="26000"/>
        <n v="136656"/>
        <n v="99200"/>
        <n v="106288"/>
        <n v="66825"/>
        <n v="84645"/>
        <n v="22400"/>
        <n v="67500"/>
        <n v="76800"/>
        <n v="61440"/>
        <n v="65930"/>
        <n v="102492"/>
        <n v="21456"/>
        <n v="128390"/>
        <n v="126000"/>
        <n v="117800"/>
        <n v="25840"/>
        <n v="31000"/>
        <n v="76000"/>
        <n v="66156"/>
        <n v="66000"/>
        <n v="39336"/>
        <n v="130500"/>
        <n v="69468"/>
        <n v="89600"/>
        <n v="102300"/>
        <n v="55428"/>
        <n v="167881"/>
        <n v="178200"/>
        <n v="160380"/>
        <n v="151470"/>
        <n v="37548"/>
        <n v="40300"/>
        <n v="131860"/>
        <n v="104202"/>
        <n v="81000"/>
        <n v="76340"/>
        <n v="78400"/>
        <n v="225771"/>
        <n v="105400"/>
        <n v="169290"/>
        <n v="196826"/>
        <n v="29400"/>
        <n v="121569"/>
        <n v="83280"/>
        <n v="88000"/>
        <n v="135330"/>
        <n v="86800"/>
        <n v="19668"/>
        <n v="46080"/>
        <n v="83600"/>
        <n v="41600"/>
        <n v="28600"/>
        <n v="51450"/>
        <n v="84480"/>
        <n v="97160"/>
        <n v="79716"/>
        <n v="114700"/>
        <n v="75920"/>
        <n v="41124"/>
        <n v="30000"/>
        <n v="76500"/>
        <n v="171000"/>
        <n v="45110"/>
        <n v="179459"/>
        <n v="80600"/>
        <n v="59400"/>
        <n v="12920"/>
        <n v="62400"/>
        <n v="44550"/>
        <n v="44100"/>
        <n v="39200"/>
        <n v="121450"/>
        <n v="43200"/>
        <n v="95550"/>
        <n v="86750"/>
        <n v="32184"/>
        <n v="53144"/>
        <n v="36800"/>
        <n v="92624"/>
      </sharedItems>
    </cacheField>
    <cacheField name="менеджер" numFmtId="0">
      <sharedItems count="9">
        <s v="Иванисов Максим"/>
        <s v="Немченко Дарья"/>
        <s v="Загорский Глеб"/>
        <s v="Родинов Илья"/>
        <s v="Жиркова Ольга"/>
        <s v="Усачев Михаил"/>
        <s v="Зайцев Кирилл"/>
        <s v="Белоусова Валерия"/>
        <s v="Ткачева Наталья"/>
      </sharedItems>
    </cacheField>
    <cacheField name="магазин" numFmtId="0">
      <sharedItems count="4">
        <s v="Детки-конфетки"/>
        <s v="Детский мир"/>
        <s v="Машенька"/>
        <s v="Мир детства"/>
      </sharedItems>
    </cacheField>
    <cacheField name="Месяцы (Дата)" numFmtId="0" databaseField="0">
      <fieldGroup base="0">
        <rangePr groupBy="months" startDate="2016-01-13T05:16:14" endDate="2021-09-30T23:43:20"/>
        <groupItems count="14">
          <s v="&lt;13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1"/>
        </groupItems>
      </fieldGroup>
    </cacheField>
    <cacheField name="Кварталы (Дата)" numFmtId="0" databaseField="0">
      <fieldGroup base="0">
        <rangePr groupBy="quarters" startDate="2016-01-13T05:16:14" endDate="2021-09-30T23:43:20"/>
        <groupItems count="6">
          <s v="&lt;13.01.2016"/>
          <s v="Кв-л1"/>
          <s v="Кв-л2"/>
          <s v="Кв-л3"/>
          <s v="Кв-л4"/>
          <s v="&gt;30.09.2021"/>
        </groupItems>
      </fieldGroup>
    </cacheField>
    <cacheField name="Годы (Дата)" numFmtId="0" databaseField="0">
      <fieldGroup base="0">
        <rangePr groupBy="years" startDate="2016-01-13T05:16:14" endDate="2021-09-30T23:43:20"/>
        <groupItems count="8">
          <s v="&lt;13.01.2016"/>
          <s v="2016"/>
          <s v="2017"/>
          <s v="2018"/>
          <s v="2019"/>
          <s v="2020"/>
          <s v="2021"/>
          <s v="&gt;30.09.2021"/>
        </groupItems>
      </fieldGroup>
    </cacheField>
  </cacheFields>
  <extLst>
    <ext xmlns:x14="http://schemas.microsoft.com/office/spreadsheetml/2009/9/main" uri="{725AE2AE-9491-48be-B2B4-4EB974FC3084}">
      <x14:pivotCacheDefinition pivotCacheId="19378840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9">
  <r>
    <x v="0"/>
    <x v="0"/>
    <x v="0"/>
    <x v="0"/>
    <x v="0"/>
    <x v="0"/>
  </r>
  <r>
    <x v="1"/>
    <x v="1"/>
    <x v="1"/>
    <x v="1"/>
    <x v="1"/>
    <x v="0"/>
  </r>
  <r>
    <x v="2"/>
    <x v="2"/>
    <x v="2"/>
    <x v="2"/>
    <x v="0"/>
    <x v="0"/>
  </r>
  <r>
    <x v="3"/>
    <x v="1"/>
    <x v="3"/>
    <x v="3"/>
    <x v="0"/>
    <x v="0"/>
  </r>
  <r>
    <x v="4"/>
    <x v="3"/>
    <x v="4"/>
    <x v="4"/>
    <x v="2"/>
    <x v="0"/>
  </r>
  <r>
    <x v="5"/>
    <x v="2"/>
    <x v="5"/>
    <x v="5"/>
    <x v="2"/>
    <x v="0"/>
  </r>
  <r>
    <x v="6"/>
    <x v="0"/>
    <x v="6"/>
    <x v="6"/>
    <x v="2"/>
    <x v="0"/>
  </r>
  <r>
    <x v="7"/>
    <x v="4"/>
    <x v="7"/>
    <x v="7"/>
    <x v="2"/>
    <x v="0"/>
  </r>
  <r>
    <x v="8"/>
    <x v="5"/>
    <x v="4"/>
    <x v="8"/>
    <x v="2"/>
    <x v="0"/>
  </r>
  <r>
    <x v="9"/>
    <x v="4"/>
    <x v="8"/>
    <x v="9"/>
    <x v="2"/>
    <x v="0"/>
  </r>
  <r>
    <x v="10"/>
    <x v="0"/>
    <x v="9"/>
    <x v="10"/>
    <x v="2"/>
    <x v="0"/>
  </r>
  <r>
    <x v="11"/>
    <x v="0"/>
    <x v="7"/>
    <x v="11"/>
    <x v="2"/>
    <x v="0"/>
  </r>
  <r>
    <x v="12"/>
    <x v="6"/>
    <x v="1"/>
    <x v="12"/>
    <x v="0"/>
    <x v="0"/>
  </r>
  <r>
    <x v="13"/>
    <x v="7"/>
    <x v="10"/>
    <x v="13"/>
    <x v="1"/>
    <x v="0"/>
  </r>
  <r>
    <x v="14"/>
    <x v="5"/>
    <x v="7"/>
    <x v="14"/>
    <x v="0"/>
    <x v="0"/>
  </r>
  <r>
    <x v="15"/>
    <x v="8"/>
    <x v="7"/>
    <x v="15"/>
    <x v="0"/>
    <x v="0"/>
  </r>
  <r>
    <x v="16"/>
    <x v="5"/>
    <x v="9"/>
    <x v="16"/>
    <x v="1"/>
    <x v="0"/>
  </r>
  <r>
    <x v="17"/>
    <x v="9"/>
    <x v="11"/>
    <x v="17"/>
    <x v="0"/>
    <x v="0"/>
  </r>
  <r>
    <x v="18"/>
    <x v="2"/>
    <x v="12"/>
    <x v="18"/>
    <x v="0"/>
    <x v="0"/>
  </r>
  <r>
    <x v="19"/>
    <x v="1"/>
    <x v="13"/>
    <x v="19"/>
    <x v="1"/>
    <x v="0"/>
  </r>
  <r>
    <x v="20"/>
    <x v="7"/>
    <x v="14"/>
    <x v="20"/>
    <x v="0"/>
    <x v="0"/>
  </r>
  <r>
    <x v="21"/>
    <x v="10"/>
    <x v="15"/>
    <x v="21"/>
    <x v="0"/>
    <x v="0"/>
  </r>
  <r>
    <x v="22"/>
    <x v="7"/>
    <x v="13"/>
    <x v="22"/>
    <x v="1"/>
    <x v="0"/>
  </r>
  <r>
    <x v="23"/>
    <x v="10"/>
    <x v="16"/>
    <x v="23"/>
    <x v="0"/>
    <x v="0"/>
  </r>
  <r>
    <x v="24"/>
    <x v="6"/>
    <x v="9"/>
    <x v="24"/>
    <x v="0"/>
    <x v="0"/>
  </r>
  <r>
    <x v="25"/>
    <x v="0"/>
    <x v="9"/>
    <x v="10"/>
    <x v="1"/>
    <x v="0"/>
  </r>
  <r>
    <x v="26"/>
    <x v="6"/>
    <x v="3"/>
    <x v="25"/>
    <x v="0"/>
    <x v="0"/>
  </r>
  <r>
    <x v="27"/>
    <x v="2"/>
    <x v="14"/>
    <x v="26"/>
    <x v="0"/>
    <x v="0"/>
  </r>
  <r>
    <x v="28"/>
    <x v="11"/>
    <x v="15"/>
    <x v="27"/>
    <x v="1"/>
    <x v="0"/>
  </r>
  <r>
    <x v="29"/>
    <x v="12"/>
    <x v="17"/>
    <x v="28"/>
    <x v="0"/>
    <x v="0"/>
  </r>
  <r>
    <x v="30"/>
    <x v="6"/>
    <x v="3"/>
    <x v="25"/>
    <x v="0"/>
    <x v="0"/>
  </r>
  <r>
    <x v="31"/>
    <x v="7"/>
    <x v="18"/>
    <x v="29"/>
    <x v="0"/>
    <x v="0"/>
  </r>
  <r>
    <x v="32"/>
    <x v="1"/>
    <x v="19"/>
    <x v="30"/>
    <x v="0"/>
    <x v="0"/>
  </r>
  <r>
    <x v="33"/>
    <x v="6"/>
    <x v="5"/>
    <x v="31"/>
    <x v="2"/>
    <x v="0"/>
  </r>
  <r>
    <x v="34"/>
    <x v="2"/>
    <x v="20"/>
    <x v="32"/>
    <x v="2"/>
    <x v="0"/>
  </r>
  <r>
    <x v="35"/>
    <x v="1"/>
    <x v="21"/>
    <x v="33"/>
    <x v="2"/>
    <x v="0"/>
  </r>
  <r>
    <x v="36"/>
    <x v="2"/>
    <x v="12"/>
    <x v="18"/>
    <x v="0"/>
    <x v="0"/>
  </r>
  <r>
    <x v="37"/>
    <x v="11"/>
    <x v="3"/>
    <x v="34"/>
    <x v="1"/>
    <x v="0"/>
  </r>
  <r>
    <x v="38"/>
    <x v="1"/>
    <x v="9"/>
    <x v="35"/>
    <x v="0"/>
    <x v="0"/>
  </r>
  <r>
    <x v="39"/>
    <x v="0"/>
    <x v="22"/>
    <x v="36"/>
    <x v="0"/>
    <x v="0"/>
  </r>
  <r>
    <x v="40"/>
    <x v="0"/>
    <x v="22"/>
    <x v="36"/>
    <x v="1"/>
    <x v="0"/>
  </r>
  <r>
    <x v="41"/>
    <x v="6"/>
    <x v="10"/>
    <x v="37"/>
    <x v="0"/>
    <x v="0"/>
  </r>
  <r>
    <x v="42"/>
    <x v="6"/>
    <x v="3"/>
    <x v="25"/>
    <x v="0"/>
    <x v="0"/>
  </r>
  <r>
    <x v="43"/>
    <x v="8"/>
    <x v="3"/>
    <x v="38"/>
    <x v="1"/>
    <x v="0"/>
  </r>
  <r>
    <x v="44"/>
    <x v="0"/>
    <x v="14"/>
    <x v="39"/>
    <x v="0"/>
    <x v="0"/>
  </r>
  <r>
    <x v="45"/>
    <x v="2"/>
    <x v="23"/>
    <x v="40"/>
    <x v="0"/>
    <x v="0"/>
  </r>
  <r>
    <x v="46"/>
    <x v="7"/>
    <x v="22"/>
    <x v="41"/>
    <x v="0"/>
    <x v="0"/>
  </r>
  <r>
    <x v="47"/>
    <x v="1"/>
    <x v="24"/>
    <x v="42"/>
    <x v="2"/>
    <x v="0"/>
  </r>
  <r>
    <x v="48"/>
    <x v="5"/>
    <x v="24"/>
    <x v="43"/>
    <x v="2"/>
    <x v="0"/>
  </r>
  <r>
    <x v="49"/>
    <x v="1"/>
    <x v="11"/>
    <x v="44"/>
    <x v="2"/>
    <x v="0"/>
  </r>
  <r>
    <x v="50"/>
    <x v="2"/>
    <x v="17"/>
    <x v="45"/>
    <x v="0"/>
    <x v="0"/>
  </r>
  <r>
    <x v="51"/>
    <x v="5"/>
    <x v="16"/>
    <x v="46"/>
    <x v="1"/>
    <x v="0"/>
  </r>
  <r>
    <x v="52"/>
    <x v="10"/>
    <x v="6"/>
    <x v="47"/>
    <x v="1"/>
    <x v="0"/>
  </r>
  <r>
    <x v="53"/>
    <x v="11"/>
    <x v="13"/>
    <x v="48"/>
    <x v="1"/>
    <x v="0"/>
  </r>
  <r>
    <x v="54"/>
    <x v="8"/>
    <x v="18"/>
    <x v="49"/>
    <x v="1"/>
    <x v="0"/>
  </r>
  <r>
    <x v="55"/>
    <x v="5"/>
    <x v="6"/>
    <x v="50"/>
    <x v="1"/>
    <x v="0"/>
  </r>
  <r>
    <x v="56"/>
    <x v="7"/>
    <x v="6"/>
    <x v="51"/>
    <x v="1"/>
    <x v="0"/>
  </r>
  <r>
    <x v="57"/>
    <x v="2"/>
    <x v="24"/>
    <x v="52"/>
    <x v="1"/>
    <x v="0"/>
  </r>
  <r>
    <x v="58"/>
    <x v="5"/>
    <x v="24"/>
    <x v="43"/>
    <x v="1"/>
    <x v="0"/>
  </r>
  <r>
    <x v="59"/>
    <x v="6"/>
    <x v="13"/>
    <x v="53"/>
    <x v="0"/>
    <x v="0"/>
  </r>
  <r>
    <x v="60"/>
    <x v="1"/>
    <x v="7"/>
    <x v="54"/>
    <x v="0"/>
    <x v="0"/>
  </r>
  <r>
    <x v="61"/>
    <x v="1"/>
    <x v="25"/>
    <x v="55"/>
    <x v="2"/>
    <x v="0"/>
  </r>
  <r>
    <x v="62"/>
    <x v="2"/>
    <x v="9"/>
    <x v="56"/>
    <x v="2"/>
    <x v="0"/>
  </r>
  <r>
    <x v="63"/>
    <x v="7"/>
    <x v="0"/>
    <x v="57"/>
    <x v="2"/>
    <x v="0"/>
  </r>
  <r>
    <x v="64"/>
    <x v="0"/>
    <x v="23"/>
    <x v="58"/>
    <x v="2"/>
    <x v="0"/>
  </r>
  <r>
    <x v="65"/>
    <x v="5"/>
    <x v="26"/>
    <x v="59"/>
    <x v="2"/>
    <x v="0"/>
  </r>
  <r>
    <x v="66"/>
    <x v="3"/>
    <x v="0"/>
    <x v="60"/>
    <x v="0"/>
    <x v="0"/>
  </r>
  <r>
    <x v="67"/>
    <x v="11"/>
    <x v="5"/>
    <x v="61"/>
    <x v="1"/>
    <x v="0"/>
  </r>
  <r>
    <x v="68"/>
    <x v="2"/>
    <x v="27"/>
    <x v="62"/>
    <x v="1"/>
    <x v="0"/>
  </r>
  <r>
    <x v="69"/>
    <x v="6"/>
    <x v="10"/>
    <x v="37"/>
    <x v="0"/>
    <x v="0"/>
  </r>
  <r>
    <x v="70"/>
    <x v="0"/>
    <x v="14"/>
    <x v="39"/>
    <x v="1"/>
    <x v="0"/>
  </r>
  <r>
    <x v="71"/>
    <x v="6"/>
    <x v="7"/>
    <x v="63"/>
    <x v="1"/>
    <x v="0"/>
  </r>
  <r>
    <x v="72"/>
    <x v="1"/>
    <x v="18"/>
    <x v="64"/>
    <x v="0"/>
    <x v="0"/>
  </r>
  <r>
    <x v="73"/>
    <x v="6"/>
    <x v="7"/>
    <x v="63"/>
    <x v="1"/>
    <x v="0"/>
  </r>
  <r>
    <x v="74"/>
    <x v="12"/>
    <x v="3"/>
    <x v="65"/>
    <x v="1"/>
    <x v="0"/>
  </r>
  <r>
    <x v="75"/>
    <x v="2"/>
    <x v="14"/>
    <x v="26"/>
    <x v="2"/>
    <x v="0"/>
  </r>
  <r>
    <x v="76"/>
    <x v="11"/>
    <x v="9"/>
    <x v="66"/>
    <x v="0"/>
    <x v="0"/>
  </r>
  <r>
    <x v="77"/>
    <x v="0"/>
    <x v="26"/>
    <x v="67"/>
    <x v="1"/>
    <x v="0"/>
  </r>
  <r>
    <x v="78"/>
    <x v="4"/>
    <x v="18"/>
    <x v="68"/>
    <x v="2"/>
    <x v="0"/>
  </r>
  <r>
    <x v="79"/>
    <x v="9"/>
    <x v="23"/>
    <x v="69"/>
    <x v="0"/>
    <x v="0"/>
  </r>
  <r>
    <x v="80"/>
    <x v="7"/>
    <x v="4"/>
    <x v="70"/>
    <x v="1"/>
    <x v="0"/>
  </r>
  <r>
    <x v="81"/>
    <x v="3"/>
    <x v="12"/>
    <x v="71"/>
    <x v="2"/>
    <x v="0"/>
  </r>
  <r>
    <x v="82"/>
    <x v="12"/>
    <x v="21"/>
    <x v="72"/>
    <x v="0"/>
    <x v="0"/>
  </r>
  <r>
    <x v="83"/>
    <x v="2"/>
    <x v="28"/>
    <x v="73"/>
    <x v="1"/>
    <x v="0"/>
  </r>
  <r>
    <x v="84"/>
    <x v="0"/>
    <x v="17"/>
    <x v="74"/>
    <x v="2"/>
    <x v="0"/>
  </r>
  <r>
    <x v="85"/>
    <x v="8"/>
    <x v="11"/>
    <x v="75"/>
    <x v="0"/>
    <x v="0"/>
  </r>
  <r>
    <x v="86"/>
    <x v="4"/>
    <x v="15"/>
    <x v="76"/>
    <x v="1"/>
    <x v="0"/>
  </r>
  <r>
    <x v="87"/>
    <x v="1"/>
    <x v="7"/>
    <x v="54"/>
    <x v="1"/>
    <x v="0"/>
  </r>
  <r>
    <x v="88"/>
    <x v="0"/>
    <x v="13"/>
    <x v="77"/>
    <x v="1"/>
    <x v="0"/>
  </r>
  <r>
    <x v="89"/>
    <x v="5"/>
    <x v="24"/>
    <x v="43"/>
    <x v="1"/>
    <x v="0"/>
  </r>
  <r>
    <x v="90"/>
    <x v="8"/>
    <x v="19"/>
    <x v="78"/>
    <x v="1"/>
    <x v="0"/>
  </r>
  <r>
    <x v="91"/>
    <x v="10"/>
    <x v="3"/>
    <x v="79"/>
    <x v="1"/>
    <x v="0"/>
  </r>
  <r>
    <x v="92"/>
    <x v="0"/>
    <x v="26"/>
    <x v="67"/>
    <x v="1"/>
    <x v="0"/>
  </r>
  <r>
    <x v="93"/>
    <x v="5"/>
    <x v="19"/>
    <x v="80"/>
    <x v="1"/>
    <x v="0"/>
  </r>
  <r>
    <x v="94"/>
    <x v="0"/>
    <x v="17"/>
    <x v="74"/>
    <x v="1"/>
    <x v="0"/>
  </r>
  <r>
    <x v="95"/>
    <x v="4"/>
    <x v="22"/>
    <x v="81"/>
    <x v="1"/>
    <x v="0"/>
  </r>
  <r>
    <x v="96"/>
    <x v="1"/>
    <x v="5"/>
    <x v="82"/>
    <x v="2"/>
    <x v="0"/>
  </r>
  <r>
    <x v="97"/>
    <x v="0"/>
    <x v="26"/>
    <x v="67"/>
    <x v="2"/>
    <x v="0"/>
  </r>
  <r>
    <x v="98"/>
    <x v="2"/>
    <x v="29"/>
    <x v="83"/>
    <x v="2"/>
    <x v="0"/>
  </r>
  <r>
    <x v="99"/>
    <x v="6"/>
    <x v="12"/>
    <x v="84"/>
    <x v="2"/>
    <x v="0"/>
  </r>
  <r>
    <x v="100"/>
    <x v="3"/>
    <x v="3"/>
    <x v="85"/>
    <x v="0"/>
    <x v="0"/>
  </r>
  <r>
    <x v="101"/>
    <x v="2"/>
    <x v="16"/>
    <x v="86"/>
    <x v="1"/>
    <x v="0"/>
  </r>
  <r>
    <x v="102"/>
    <x v="10"/>
    <x v="22"/>
    <x v="87"/>
    <x v="1"/>
    <x v="0"/>
  </r>
  <r>
    <x v="103"/>
    <x v="8"/>
    <x v="16"/>
    <x v="88"/>
    <x v="0"/>
    <x v="0"/>
  </r>
  <r>
    <x v="104"/>
    <x v="7"/>
    <x v="30"/>
    <x v="89"/>
    <x v="1"/>
    <x v="0"/>
  </r>
  <r>
    <x v="105"/>
    <x v="3"/>
    <x v="26"/>
    <x v="90"/>
    <x v="1"/>
    <x v="0"/>
  </r>
  <r>
    <x v="106"/>
    <x v="6"/>
    <x v="12"/>
    <x v="84"/>
    <x v="0"/>
    <x v="0"/>
  </r>
  <r>
    <x v="107"/>
    <x v="0"/>
    <x v="1"/>
    <x v="91"/>
    <x v="1"/>
    <x v="0"/>
  </r>
  <r>
    <x v="108"/>
    <x v="10"/>
    <x v="14"/>
    <x v="92"/>
    <x v="1"/>
    <x v="0"/>
  </r>
  <r>
    <x v="109"/>
    <x v="4"/>
    <x v="7"/>
    <x v="7"/>
    <x v="0"/>
    <x v="0"/>
  </r>
  <r>
    <x v="110"/>
    <x v="5"/>
    <x v="26"/>
    <x v="59"/>
    <x v="1"/>
    <x v="0"/>
  </r>
  <r>
    <x v="111"/>
    <x v="0"/>
    <x v="22"/>
    <x v="36"/>
    <x v="1"/>
    <x v="0"/>
  </r>
  <r>
    <x v="112"/>
    <x v="2"/>
    <x v="24"/>
    <x v="52"/>
    <x v="1"/>
    <x v="0"/>
  </r>
  <r>
    <x v="113"/>
    <x v="0"/>
    <x v="17"/>
    <x v="74"/>
    <x v="2"/>
    <x v="0"/>
  </r>
  <r>
    <x v="114"/>
    <x v="7"/>
    <x v="30"/>
    <x v="89"/>
    <x v="2"/>
    <x v="0"/>
  </r>
  <r>
    <x v="115"/>
    <x v="3"/>
    <x v="1"/>
    <x v="93"/>
    <x v="2"/>
    <x v="0"/>
  </r>
  <r>
    <x v="116"/>
    <x v="6"/>
    <x v="24"/>
    <x v="94"/>
    <x v="1"/>
    <x v="0"/>
  </r>
  <r>
    <x v="117"/>
    <x v="0"/>
    <x v="19"/>
    <x v="95"/>
    <x v="2"/>
    <x v="0"/>
  </r>
  <r>
    <x v="118"/>
    <x v="4"/>
    <x v="0"/>
    <x v="96"/>
    <x v="2"/>
    <x v="0"/>
  </r>
  <r>
    <x v="119"/>
    <x v="8"/>
    <x v="6"/>
    <x v="97"/>
    <x v="2"/>
    <x v="0"/>
  </r>
  <r>
    <x v="120"/>
    <x v="0"/>
    <x v="19"/>
    <x v="95"/>
    <x v="1"/>
    <x v="0"/>
  </r>
  <r>
    <x v="121"/>
    <x v="2"/>
    <x v="16"/>
    <x v="86"/>
    <x v="0"/>
    <x v="0"/>
  </r>
  <r>
    <x v="122"/>
    <x v="4"/>
    <x v="7"/>
    <x v="7"/>
    <x v="1"/>
    <x v="0"/>
  </r>
  <r>
    <x v="123"/>
    <x v="6"/>
    <x v="5"/>
    <x v="31"/>
    <x v="0"/>
    <x v="0"/>
  </r>
  <r>
    <x v="124"/>
    <x v="2"/>
    <x v="23"/>
    <x v="40"/>
    <x v="1"/>
    <x v="0"/>
  </r>
  <r>
    <x v="125"/>
    <x v="6"/>
    <x v="10"/>
    <x v="37"/>
    <x v="0"/>
    <x v="0"/>
  </r>
  <r>
    <x v="126"/>
    <x v="0"/>
    <x v="19"/>
    <x v="95"/>
    <x v="1"/>
    <x v="0"/>
  </r>
  <r>
    <x v="127"/>
    <x v="6"/>
    <x v="1"/>
    <x v="12"/>
    <x v="0"/>
    <x v="0"/>
  </r>
  <r>
    <x v="128"/>
    <x v="4"/>
    <x v="0"/>
    <x v="96"/>
    <x v="1"/>
    <x v="0"/>
  </r>
  <r>
    <x v="129"/>
    <x v="9"/>
    <x v="5"/>
    <x v="98"/>
    <x v="0"/>
    <x v="0"/>
  </r>
  <r>
    <x v="130"/>
    <x v="4"/>
    <x v="4"/>
    <x v="99"/>
    <x v="0"/>
    <x v="0"/>
  </r>
  <r>
    <x v="131"/>
    <x v="2"/>
    <x v="6"/>
    <x v="100"/>
    <x v="0"/>
    <x v="0"/>
  </r>
  <r>
    <x v="132"/>
    <x v="0"/>
    <x v="1"/>
    <x v="91"/>
    <x v="0"/>
    <x v="0"/>
  </r>
  <r>
    <x v="133"/>
    <x v="1"/>
    <x v="6"/>
    <x v="101"/>
    <x v="0"/>
    <x v="0"/>
  </r>
  <r>
    <x v="134"/>
    <x v="5"/>
    <x v="12"/>
    <x v="102"/>
    <x v="0"/>
    <x v="0"/>
  </r>
  <r>
    <x v="135"/>
    <x v="0"/>
    <x v="8"/>
    <x v="103"/>
    <x v="0"/>
    <x v="0"/>
  </r>
  <r>
    <x v="136"/>
    <x v="7"/>
    <x v="7"/>
    <x v="104"/>
    <x v="0"/>
    <x v="0"/>
  </r>
  <r>
    <x v="137"/>
    <x v="1"/>
    <x v="18"/>
    <x v="64"/>
    <x v="0"/>
    <x v="0"/>
  </r>
  <r>
    <x v="138"/>
    <x v="8"/>
    <x v="26"/>
    <x v="68"/>
    <x v="0"/>
    <x v="0"/>
  </r>
  <r>
    <x v="139"/>
    <x v="2"/>
    <x v="30"/>
    <x v="105"/>
    <x v="2"/>
    <x v="0"/>
  </r>
  <r>
    <x v="140"/>
    <x v="8"/>
    <x v="18"/>
    <x v="49"/>
    <x v="1"/>
    <x v="0"/>
  </r>
  <r>
    <x v="141"/>
    <x v="4"/>
    <x v="7"/>
    <x v="7"/>
    <x v="2"/>
    <x v="0"/>
  </r>
  <r>
    <x v="142"/>
    <x v="5"/>
    <x v="3"/>
    <x v="106"/>
    <x v="1"/>
    <x v="0"/>
  </r>
  <r>
    <x v="143"/>
    <x v="9"/>
    <x v="22"/>
    <x v="107"/>
    <x v="2"/>
    <x v="0"/>
  </r>
  <r>
    <x v="144"/>
    <x v="0"/>
    <x v="5"/>
    <x v="108"/>
    <x v="1"/>
    <x v="0"/>
  </r>
  <r>
    <x v="145"/>
    <x v="0"/>
    <x v="8"/>
    <x v="103"/>
    <x v="2"/>
    <x v="0"/>
  </r>
  <r>
    <x v="146"/>
    <x v="2"/>
    <x v="25"/>
    <x v="109"/>
    <x v="2"/>
    <x v="0"/>
  </r>
  <r>
    <x v="147"/>
    <x v="6"/>
    <x v="5"/>
    <x v="31"/>
    <x v="2"/>
    <x v="0"/>
  </r>
  <r>
    <x v="148"/>
    <x v="10"/>
    <x v="1"/>
    <x v="110"/>
    <x v="2"/>
    <x v="0"/>
  </r>
  <r>
    <x v="149"/>
    <x v="9"/>
    <x v="16"/>
    <x v="111"/>
    <x v="2"/>
    <x v="0"/>
  </r>
  <r>
    <x v="150"/>
    <x v="0"/>
    <x v="9"/>
    <x v="10"/>
    <x v="2"/>
    <x v="0"/>
  </r>
  <r>
    <x v="151"/>
    <x v="4"/>
    <x v="13"/>
    <x v="112"/>
    <x v="2"/>
    <x v="0"/>
  </r>
  <r>
    <x v="152"/>
    <x v="8"/>
    <x v="13"/>
    <x v="113"/>
    <x v="2"/>
    <x v="0"/>
  </r>
  <r>
    <x v="153"/>
    <x v="0"/>
    <x v="20"/>
    <x v="114"/>
    <x v="1"/>
    <x v="0"/>
  </r>
  <r>
    <x v="154"/>
    <x v="1"/>
    <x v="27"/>
    <x v="115"/>
    <x v="0"/>
    <x v="0"/>
  </r>
  <r>
    <x v="155"/>
    <x v="6"/>
    <x v="16"/>
    <x v="116"/>
    <x v="0"/>
    <x v="0"/>
  </r>
  <r>
    <x v="156"/>
    <x v="8"/>
    <x v="15"/>
    <x v="117"/>
    <x v="1"/>
    <x v="0"/>
  </r>
  <r>
    <x v="157"/>
    <x v="10"/>
    <x v="22"/>
    <x v="87"/>
    <x v="0"/>
    <x v="0"/>
  </r>
  <r>
    <x v="158"/>
    <x v="1"/>
    <x v="10"/>
    <x v="118"/>
    <x v="0"/>
    <x v="0"/>
  </r>
  <r>
    <x v="159"/>
    <x v="10"/>
    <x v="18"/>
    <x v="119"/>
    <x v="1"/>
    <x v="0"/>
  </r>
  <r>
    <x v="160"/>
    <x v="4"/>
    <x v="13"/>
    <x v="112"/>
    <x v="0"/>
    <x v="0"/>
  </r>
  <r>
    <x v="161"/>
    <x v="9"/>
    <x v="14"/>
    <x v="120"/>
    <x v="0"/>
    <x v="0"/>
  </r>
  <r>
    <x v="162"/>
    <x v="5"/>
    <x v="12"/>
    <x v="102"/>
    <x v="1"/>
    <x v="0"/>
  </r>
  <r>
    <x v="163"/>
    <x v="0"/>
    <x v="21"/>
    <x v="121"/>
    <x v="0"/>
    <x v="0"/>
  </r>
  <r>
    <x v="164"/>
    <x v="4"/>
    <x v="7"/>
    <x v="7"/>
    <x v="0"/>
    <x v="0"/>
  </r>
  <r>
    <x v="165"/>
    <x v="9"/>
    <x v="11"/>
    <x v="17"/>
    <x v="1"/>
    <x v="0"/>
  </r>
  <r>
    <x v="166"/>
    <x v="11"/>
    <x v="6"/>
    <x v="122"/>
    <x v="0"/>
    <x v="0"/>
  </r>
  <r>
    <x v="167"/>
    <x v="2"/>
    <x v="7"/>
    <x v="123"/>
    <x v="0"/>
    <x v="0"/>
  </r>
  <r>
    <x v="168"/>
    <x v="0"/>
    <x v="20"/>
    <x v="114"/>
    <x v="1"/>
    <x v="0"/>
  </r>
  <r>
    <x v="169"/>
    <x v="8"/>
    <x v="30"/>
    <x v="124"/>
    <x v="1"/>
    <x v="0"/>
  </r>
  <r>
    <x v="170"/>
    <x v="2"/>
    <x v="5"/>
    <x v="5"/>
    <x v="1"/>
    <x v="0"/>
  </r>
  <r>
    <x v="171"/>
    <x v="7"/>
    <x v="26"/>
    <x v="125"/>
    <x v="1"/>
    <x v="0"/>
  </r>
  <r>
    <x v="172"/>
    <x v="2"/>
    <x v="13"/>
    <x v="126"/>
    <x v="1"/>
    <x v="0"/>
  </r>
  <r>
    <x v="173"/>
    <x v="6"/>
    <x v="16"/>
    <x v="116"/>
    <x v="2"/>
    <x v="0"/>
  </r>
  <r>
    <x v="174"/>
    <x v="6"/>
    <x v="29"/>
    <x v="127"/>
    <x v="2"/>
    <x v="0"/>
  </r>
  <r>
    <x v="175"/>
    <x v="0"/>
    <x v="12"/>
    <x v="128"/>
    <x v="2"/>
    <x v="0"/>
  </r>
  <r>
    <x v="176"/>
    <x v="10"/>
    <x v="16"/>
    <x v="23"/>
    <x v="1"/>
    <x v="0"/>
  </r>
  <r>
    <x v="177"/>
    <x v="12"/>
    <x v="22"/>
    <x v="129"/>
    <x v="2"/>
    <x v="0"/>
  </r>
  <r>
    <x v="178"/>
    <x v="8"/>
    <x v="4"/>
    <x v="130"/>
    <x v="2"/>
    <x v="0"/>
  </r>
  <r>
    <x v="179"/>
    <x v="6"/>
    <x v="21"/>
    <x v="131"/>
    <x v="2"/>
    <x v="0"/>
  </r>
  <r>
    <x v="180"/>
    <x v="0"/>
    <x v="30"/>
    <x v="132"/>
    <x v="1"/>
    <x v="0"/>
  </r>
  <r>
    <x v="181"/>
    <x v="1"/>
    <x v="6"/>
    <x v="101"/>
    <x v="2"/>
    <x v="0"/>
  </r>
  <r>
    <x v="182"/>
    <x v="7"/>
    <x v="18"/>
    <x v="29"/>
    <x v="2"/>
    <x v="0"/>
  </r>
  <r>
    <x v="183"/>
    <x v="1"/>
    <x v="5"/>
    <x v="82"/>
    <x v="2"/>
    <x v="0"/>
  </r>
  <r>
    <x v="184"/>
    <x v="10"/>
    <x v="27"/>
    <x v="133"/>
    <x v="1"/>
    <x v="0"/>
  </r>
  <r>
    <x v="185"/>
    <x v="7"/>
    <x v="3"/>
    <x v="134"/>
    <x v="2"/>
    <x v="0"/>
  </r>
  <r>
    <x v="186"/>
    <x v="9"/>
    <x v="29"/>
    <x v="135"/>
    <x v="2"/>
    <x v="0"/>
  </r>
  <r>
    <x v="187"/>
    <x v="7"/>
    <x v="14"/>
    <x v="20"/>
    <x v="2"/>
    <x v="0"/>
  </r>
  <r>
    <x v="188"/>
    <x v="9"/>
    <x v="30"/>
    <x v="136"/>
    <x v="1"/>
    <x v="0"/>
  </r>
  <r>
    <x v="189"/>
    <x v="10"/>
    <x v="15"/>
    <x v="21"/>
    <x v="2"/>
    <x v="0"/>
  </r>
  <r>
    <x v="190"/>
    <x v="7"/>
    <x v="5"/>
    <x v="137"/>
    <x v="2"/>
    <x v="0"/>
  </r>
  <r>
    <x v="191"/>
    <x v="4"/>
    <x v="25"/>
    <x v="62"/>
    <x v="2"/>
    <x v="0"/>
  </r>
  <r>
    <x v="192"/>
    <x v="3"/>
    <x v="15"/>
    <x v="138"/>
    <x v="1"/>
    <x v="0"/>
  </r>
  <r>
    <x v="193"/>
    <x v="5"/>
    <x v="28"/>
    <x v="139"/>
    <x v="2"/>
    <x v="0"/>
  </r>
  <r>
    <x v="194"/>
    <x v="8"/>
    <x v="26"/>
    <x v="68"/>
    <x v="2"/>
    <x v="0"/>
  </r>
  <r>
    <x v="195"/>
    <x v="4"/>
    <x v="11"/>
    <x v="140"/>
    <x v="2"/>
    <x v="0"/>
  </r>
  <r>
    <x v="196"/>
    <x v="5"/>
    <x v="1"/>
    <x v="141"/>
    <x v="1"/>
    <x v="0"/>
  </r>
  <r>
    <x v="197"/>
    <x v="0"/>
    <x v="15"/>
    <x v="142"/>
    <x v="1"/>
    <x v="0"/>
  </r>
  <r>
    <x v="198"/>
    <x v="9"/>
    <x v="4"/>
    <x v="143"/>
    <x v="0"/>
    <x v="0"/>
  </r>
  <r>
    <x v="199"/>
    <x v="2"/>
    <x v="27"/>
    <x v="62"/>
    <x v="0"/>
    <x v="0"/>
  </r>
  <r>
    <x v="200"/>
    <x v="11"/>
    <x v="1"/>
    <x v="144"/>
    <x v="1"/>
    <x v="0"/>
  </r>
  <r>
    <x v="201"/>
    <x v="4"/>
    <x v="26"/>
    <x v="45"/>
    <x v="1"/>
    <x v="0"/>
  </r>
  <r>
    <x v="202"/>
    <x v="8"/>
    <x v="6"/>
    <x v="97"/>
    <x v="0"/>
    <x v="0"/>
  </r>
  <r>
    <x v="203"/>
    <x v="8"/>
    <x v="27"/>
    <x v="63"/>
    <x v="0"/>
    <x v="0"/>
  </r>
  <r>
    <x v="204"/>
    <x v="6"/>
    <x v="23"/>
    <x v="145"/>
    <x v="1"/>
    <x v="0"/>
  </r>
  <r>
    <x v="205"/>
    <x v="11"/>
    <x v="27"/>
    <x v="146"/>
    <x v="0"/>
    <x v="0"/>
  </r>
  <r>
    <x v="206"/>
    <x v="3"/>
    <x v="17"/>
    <x v="147"/>
    <x v="1"/>
    <x v="0"/>
  </r>
  <r>
    <x v="207"/>
    <x v="3"/>
    <x v="4"/>
    <x v="4"/>
    <x v="0"/>
    <x v="0"/>
  </r>
  <r>
    <x v="208"/>
    <x v="6"/>
    <x v="27"/>
    <x v="148"/>
    <x v="1"/>
    <x v="0"/>
  </r>
  <r>
    <x v="209"/>
    <x v="11"/>
    <x v="11"/>
    <x v="149"/>
    <x v="0"/>
    <x v="0"/>
  </r>
  <r>
    <x v="210"/>
    <x v="11"/>
    <x v="11"/>
    <x v="149"/>
    <x v="1"/>
    <x v="0"/>
  </r>
  <r>
    <x v="211"/>
    <x v="4"/>
    <x v="13"/>
    <x v="112"/>
    <x v="1"/>
    <x v="0"/>
  </r>
  <r>
    <x v="212"/>
    <x v="1"/>
    <x v="7"/>
    <x v="54"/>
    <x v="2"/>
    <x v="0"/>
  </r>
  <r>
    <x v="213"/>
    <x v="0"/>
    <x v="27"/>
    <x v="150"/>
    <x v="2"/>
    <x v="0"/>
  </r>
  <r>
    <x v="214"/>
    <x v="7"/>
    <x v="17"/>
    <x v="151"/>
    <x v="1"/>
    <x v="0"/>
  </r>
  <r>
    <x v="215"/>
    <x v="5"/>
    <x v="27"/>
    <x v="127"/>
    <x v="2"/>
    <x v="0"/>
  </r>
  <r>
    <x v="216"/>
    <x v="0"/>
    <x v="3"/>
    <x v="152"/>
    <x v="2"/>
    <x v="0"/>
  </r>
  <r>
    <x v="217"/>
    <x v="6"/>
    <x v="7"/>
    <x v="63"/>
    <x v="1"/>
    <x v="0"/>
  </r>
  <r>
    <x v="218"/>
    <x v="1"/>
    <x v="19"/>
    <x v="30"/>
    <x v="2"/>
    <x v="0"/>
  </r>
  <r>
    <x v="219"/>
    <x v="0"/>
    <x v="16"/>
    <x v="153"/>
    <x v="2"/>
    <x v="0"/>
  </r>
  <r>
    <x v="220"/>
    <x v="9"/>
    <x v="25"/>
    <x v="154"/>
    <x v="1"/>
    <x v="0"/>
  </r>
  <r>
    <x v="221"/>
    <x v="6"/>
    <x v="5"/>
    <x v="31"/>
    <x v="2"/>
    <x v="0"/>
  </r>
  <r>
    <x v="222"/>
    <x v="9"/>
    <x v="22"/>
    <x v="107"/>
    <x v="2"/>
    <x v="0"/>
  </r>
  <r>
    <x v="223"/>
    <x v="4"/>
    <x v="3"/>
    <x v="37"/>
    <x v="3"/>
    <x v="1"/>
  </r>
  <r>
    <x v="224"/>
    <x v="2"/>
    <x v="8"/>
    <x v="155"/>
    <x v="4"/>
    <x v="1"/>
  </r>
  <r>
    <x v="225"/>
    <x v="6"/>
    <x v="22"/>
    <x v="156"/>
    <x v="5"/>
    <x v="1"/>
  </r>
  <r>
    <x v="226"/>
    <x v="0"/>
    <x v="24"/>
    <x v="157"/>
    <x v="4"/>
    <x v="1"/>
  </r>
  <r>
    <x v="227"/>
    <x v="2"/>
    <x v="29"/>
    <x v="83"/>
    <x v="3"/>
    <x v="1"/>
  </r>
  <r>
    <x v="228"/>
    <x v="0"/>
    <x v="25"/>
    <x v="158"/>
    <x v="5"/>
    <x v="1"/>
  </r>
  <r>
    <x v="229"/>
    <x v="0"/>
    <x v="15"/>
    <x v="142"/>
    <x v="4"/>
    <x v="1"/>
  </r>
  <r>
    <x v="230"/>
    <x v="5"/>
    <x v="19"/>
    <x v="80"/>
    <x v="5"/>
    <x v="1"/>
  </r>
  <r>
    <x v="231"/>
    <x v="8"/>
    <x v="13"/>
    <x v="113"/>
    <x v="5"/>
    <x v="1"/>
  </r>
  <r>
    <x v="232"/>
    <x v="3"/>
    <x v="20"/>
    <x v="159"/>
    <x v="3"/>
    <x v="1"/>
  </r>
  <r>
    <x v="233"/>
    <x v="6"/>
    <x v="1"/>
    <x v="12"/>
    <x v="4"/>
    <x v="1"/>
  </r>
  <r>
    <x v="234"/>
    <x v="4"/>
    <x v="26"/>
    <x v="45"/>
    <x v="3"/>
    <x v="1"/>
  </r>
  <r>
    <x v="235"/>
    <x v="4"/>
    <x v="30"/>
    <x v="160"/>
    <x v="4"/>
    <x v="1"/>
  </r>
  <r>
    <x v="236"/>
    <x v="0"/>
    <x v="21"/>
    <x v="121"/>
    <x v="3"/>
    <x v="1"/>
  </r>
  <r>
    <x v="237"/>
    <x v="8"/>
    <x v="1"/>
    <x v="161"/>
    <x v="3"/>
    <x v="1"/>
  </r>
  <r>
    <x v="238"/>
    <x v="1"/>
    <x v="22"/>
    <x v="162"/>
    <x v="3"/>
    <x v="1"/>
  </r>
  <r>
    <x v="239"/>
    <x v="6"/>
    <x v="22"/>
    <x v="156"/>
    <x v="3"/>
    <x v="1"/>
  </r>
  <r>
    <x v="240"/>
    <x v="6"/>
    <x v="30"/>
    <x v="163"/>
    <x v="4"/>
    <x v="1"/>
  </r>
  <r>
    <x v="241"/>
    <x v="0"/>
    <x v="0"/>
    <x v="0"/>
    <x v="5"/>
    <x v="1"/>
  </r>
  <r>
    <x v="242"/>
    <x v="5"/>
    <x v="4"/>
    <x v="8"/>
    <x v="5"/>
    <x v="1"/>
  </r>
  <r>
    <x v="243"/>
    <x v="7"/>
    <x v="26"/>
    <x v="125"/>
    <x v="5"/>
    <x v="1"/>
  </r>
  <r>
    <x v="244"/>
    <x v="0"/>
    <x v="5"/>
    <x v="108"/>
    <x v="4"/>
    <x v="1"/>
  </r>
  <r>
    <x v="245"/>
    <x v="10"/>
    <x v="27"/>
    <x v="133"/>
    <x v="4"/>
    <x v="1"/>
  </r>
  <r>
    <x v="246"/>
    <x v="10"/>
    <x v="5"/>
    <x v="164"/>
    <x v="4"/>
    <x v="1"/>
  </r>
  <r>
    <x v="247"/>
    <x v="1"/>
    <x v="0"/>
    <x v="165"/>
    <x v="4"/>
    <x v="1"/>
  </r>
  <r>
    <x v="248"/>
    <x v="8"/>
    <x v="3"/>
    <x v="38"/>
    <x v="4"/>
    <x v="1"/>
  </r>
  <r>
    <x v="249"/>
    <x v="0"/>
    <x v="26"/>
    <x v="67"/>
    <x v="4"/>
    <x v="1"/>
  </r>
  <r>
    <x v="250"/>
    <x v="0"/>
    <x v="16"/>
    <x v="153"/>
    <x v="3"/>
    <x v="1"/>
  </r>
  <r>
    <x v="251"/>
    <x v="6"/>
    <x v="19"/>
    <x v="166"/>
    <x v="5"/>
    <x v="1"/>
  </r>
  <r>
    <x v="252"/>
    <x v="2"/>
    <x v="15"/>
    <x v="167"/>
    <x v="4"/>
    <x v="1"/>
  </r>
  <r>
    <x v="253"/>
    <x v="11"/>
    <x v="29"/>
    <x v="168"/>
    <x v="4"/>
    <x v="1"/>
  </r>
  <r>
    <x v="254"/>
    <x v="0"/>
    <x v="19"/>
    <x v="95"/>
    <x v="4"/>
    <x v="1"/>
  </r>
  <r>
    <x v="255"/>
    <x v="2"/>
    <x v="27"/>
    <x v="62"/>
    <x v="4"/>
    <x v="1"/>
  </r>
  <r>
    <x v="256"/>
    <x v="3"/>
    <x v="10"/>
    <x v="169"/>
    <x v="3"/>
    <x v="1"/>
  </r>
  <r>
    <x v="257"/>
    <x v="2"/>
    <x v="23"/>
    <x v="40"/>
    <x v="5"/>
    <x v="1"/>
  </r>
  <r>
    <x v="258"/>
    <x v="10"/>
    <x v="21"/>
    <x v="170"/>
    <x v="4"/>
    <x v="1"/>
  </r>
  <r>
    <x v="259"/>
    <x v="7"/>
    <x v="1"/>
    <x v="171"/>
    <x v="5"/>
    <x v="1"/>
  </r>
  <r>
    <x v="260"/>
    <x v="9"/>
    <x v="24"/>
    <x v="172"/>
    <x v="3"/>
    <x v="1"/>
  </r>
  <r>
    <x v="261"/>
    <x v="9"/>
    <x v="30"/>
    <x v="136"/>
    <x v="4"/>
    <x v="1"/>
  </r>
  <r>
    <x v="262"/>
    <x v="5"/>
    <x v="1"/>
    <x v="141"/>
    <x v="4"/>
    <x v="1"/>
  </r>
  <r>
    <x v="263"/>
    <x v="9"/>
    <x v="11"/>
    <x v="17"/>
    <x v="4"/>
    <x v="1"/>
  </r>
  <r>
    <x v="264"/>
    <x v="8"/>
    <x v="23"/>
    <x v="173"/>
    <x v="4"/>
    <x v="1"/>
  </r>
  <r>
    <x v="265"/>
    <x v="9"/>
    <x v="1"/>
    <x v="174"/>
    <x v="4"/>
    <x v="1"/>
  </r>
  <r>
    <x v="266"/>
    <x v="1"/>
    <x v="21"/>
    <x v="33"/>
    <x v="3"/>
    <x v="1"/>
  </r>
  <r>
    <x v="267"/>
    <x v="0"/>
    <x v="12"/>
    <x v="128"/>
    <x v="3"/>
    <x v="1"/>
  </r>
  <r>
    <x v="268"/>
    <x v="0"/>
    <x v="29"/>
    <x v="175"/>
    <x v="4"/>
    <x v="1"/>
  </r>
  <r>
    <x v="269"/>
    <x v="0"/>
    <x v="10"/>
    <x v="176"/>
    <x v="3"/>
    <x v="1"/>
  </r>
  <r>
    <x v="270"/>
    <x v="0"/>
    <x v="5"/>
    <x v="108"/>
    <x v="4"/>
    <x v="1"/>
  </r>
  <r>
    <x v="271"/>
    <x v="6"/>
    <x v="29"/>
    <x v="127"/>
    <x v="4"/>
    <x v="1"/>
  </r>
  <r>
    <x v="272"/>
    <x v="4"/>
    <x v="18"/>
    <x v="68"/>
    <x v="3"/>
    <x v="1"/>
  </r>
  <r>
    <x v="273"/>
    <x v="11"/>
    <x v="23"/>
    <x v="177"/>
    <x v="3"/>
    <x v="1"/>
  </r>
  <r>
    <x v="274"/>
    <x v="3"/>
    <x v="10"/>
    <x v="169"/>
    <x v="5"/>
    <x v="1"/>
  </r>
  <r>
    <x v="275"/>
    <x v="2"/>
    <x v="7"/>
    <x v="123"/>
    <x v="4"/>
    <x v="1"/>
  </r>
  <r>
    <x v="276"/>
    <x v="7"/>
    <x v="4"/>
    <x v="70"/>
    <x v="4"/>
    <x v="1"/>
  </r>
  <r>
    <x v="277"/>
    <x v="11"/>
    <x v="24"/>
    <x v="178"/>
    <x v="4"/>
    <x v="1"/>
  </r>
  <r>
    <x v="278"/>
    <x v="4"/>
    <x v="20"/>
    <x v="179"/>
    <x v="3"/>
    <x v="1"/>
  </r>
  <r>
    <x v="279"/>
    <x v="0"/>
    <x v="10"/>
    <x v="176"/>
    <x v="5"/>
    <x v="1"/>
  </r>
  <r>
    <x v="280"/>
    <x v="2"/>
    <x v="27"/>
    <x v="62"/>
    <x v="5"/>
    <x v="1"/>
  </r>
  <r>
    <x v="281"/>
    <x v="9"/>
    <x v="14"/>
    <x v="120"/>
    <x v="3"/>
    <x v="1"/>
  </r>
  <r>
    <x v="282"/>
    <x v="6"/>
    <x v="19"/>
    <x v="166"/>
    <x v="5"/>
    <x v="1"/>
  </r>
  <r>
    <x v="283"/>
    <x v="6"/>
    <x v="10"/>
    <x v="37"/>
    <x v="4"/>
    <x v="1"/>
  </r>
  <r>
    <x v="284"/>
    <x v="3"/>
    <x v="2"/>
    <x v="180"/>
    <x v="4"/>
    <x v="1"/>
  </r>
  <r>
    <x v="285"/>
    <x v="2"/>
    <x v="4"/>
    <x v="181"/>
    <x v="4"/>
    <x v="1"/>
  </r>
  <r>
    <x v="286"/>
    <x v="7"/>
    <x v="18"/>
    <x v="29"/>
    <x v="4"/>
    <x v="1"/>
  </r>
  <r>
    <x v="287"/>
    <x v="11"/>
    <x v="21"/>
    <x v="182"/>
    <x v="3"/>
    <x v="1"/>
  </r>
  <r>
    <x v="288"/>
    <x v="6"/>
    <x v="22"/>
    <x v="156"/>
    <x v="3"/>
    <x v="1"/>
  </r>
  <r>
    <x v="289"/>
    <x v="6"/>
    <x v="20"/>
    <x v="183"/>
    <x v="3"/>
    <x v="1"/>
  </r>
  <r>
    <x v="290"/>
    <x v="2"/>
    <x v="0"/>
    <x v="184"/>
    <x v="3"/>
    <x v="1"/>
  </r>
  <r>
    <x v="291"/>
    <x v="0"/>
    <x v="27"/>
    <x v="150"/>
    <x v="4"/>
    <x v="1"/>
  </r>
  <r>
    <x v="292"/>
    <x v="5"/>
    <x v="14"/>
    <x v="185"/>
    <x v="5"/>
    <x v="1"/>
  </r>
  <r>
    <x v="293"/>
    <x v="3"/>
    <x v="25"/>
    <x v="186"/>
    <x v="5"/>
    <x v="1"/>
  </r>
  <r>
    <x v="294"/>
    <x v="7"/>
    <x v="4"/>
    <x v="70"/>
    <x v="5"/>
    <x v="1"/>
  </r>
  <r>
    <x v="295"/>
    <x v="8"/>
    <x v="6"/>
    <x v="97"/>
    <x v="4"/>
    <x v="1"/>
  </r>
  <r>
    <x v="296"/>
    <x v="5"/>
    <x v="23"/>
    <x v="187"/>
    <x v="4"/>
    <x v="1"/>
  </r>
  <r>
    <x v="297"/>
    <x v="0"/>
    <x v="6"/>
    <x v="6"/>
    <x v="4"/>
    <x v="1"/>
  </r>
  <r>
    <x v="298"/>
    <x v="1"/>
    <x v="19"/>
    <x v="30"/>
    <x v="4"/>
    <x v="1"/>
  </r>
  <r>
    <x v="299"/>
    <x v="11"/>
    <x v="25"/>
    <x v="188"/>
    <x v="4"/>
    <x v="1"/>
  </r>
  <r>
    <x v="300"/>
    <x v="6"/>
    <x v="22"/>
    <x v="156"/>
    <x v="4"/>
    <x v="1"/>
  </r>
  <r>
    <x v="301"/>
    <x v="1"/>
    <x v="1"/>
    <x v="1"/>
    <x v="3"/>
    <x v="1"/>
  </r>
  <r>
    <x v="302"/>
    <x v="6"/>
    <x v="27"/>
    <x v="148"/>
    <x v="5"/>
    <x v="1"/>
  </r>
  <r>
    <x v="303"/>
    <x v="7"/>
    <x v="15"/>
    <x v="189"/>
    <x v="4"/>
    <x v="1"/>
  </r>
  <r>
    <x v="304"/>
    <x v="1"/>
    <x v="29"/>
    <x v="190"/>
    <x v="4"/>
    <x v="1"/>
  </r>
  <r>
    <x v="305"/>
    <x v="6"/>
    <x v="29"/>
    <x v="127"/>
    <x v="4"/>
    <x v="1"/>
  </r>
  <r>
    <x v="306"/>
    <x v="6"/>
    <x v="14"/>
    <x v="149"/>
    <x v="4"/>
    <x v="1"/>
  </r>
  <r>
    <x v="307"/>
    <x v="11"/>
    <x v="27"/>
    <x v="146"/>
    <x v="3"/>
    <x v="1"/>
  </r>
  <r>
    <x v="308"/>
    <x v="6"/>
    <x v="7"/>
    <x v="63"/>
    <x v="5"/>
    <x v="1"/>
  </r>
  <r>
    <x v="309"/>
    <x v="4"/>
    <x v="8"/>
    <x v="9"/>
    <x v="4"/>
    <x v="1"/>
  </r>
  <r>
    <x v="310"/>
    <x v="11"/>
    <x v="23"/>
    <x v="177"/>
    <x v="5"/>
    <x v="1"/>
  </r>
  <r>
    <x v="311"/>
    <x v="4"/>
    <x v="24"/>
    <x v="191"/>
    <x v="3"/>
    <x v="1"/>
  </r>
  <r>
    <x v="312"/>
    <x v="4"/>
    <x v="8"/>
    <x v="9"/>
    <x v="4"/>
    <x v="1"/>
  </r>
  <r>
    <x v="313"/>
    <x v="10"/>
    <x v="26"/>
    <x v="192"/>
    <x v="4"/>
    <x v="1"/>
  </r>
  <r>
    <x v="314"/>
    <x v="8"/>
    <x v="11"/>
    <x v="75"/>
    <x v="4"/>
    <x v="1"/>
  </r>
  <r>
    <x v="315"/>
    <x v="4"/>
    <x v="3"/>
    <x v="37"/>
    <x v="4"/>
    <x v="1"/>
  </r>
  <r>
    <x v="316"/>
    <x v="11"/>
    <x v="18"/>
    <x v="193"/>
    <x v="4"/>
    <x v="1"/>
  </r>
  <r>
    <x v="317"/>
    <x v="2"/>
    <x v="10"/>
    <x v="194"/>
    <x v="3"/>
    <x v="1"/>
  </r>
  <r>
    <x v="318"/>
    <x v="2"/>
    <x v="4"/>
    <x v="181"/>
    <x v="3"/>
    <x v="1"/>
  </r>
  <r>
    <x v="319"/>
    <x v="11"/>
    <x v="28"/>
    <x v="195"/>
    <x v="4"/>
    <x v="1"/>
  </r>
  <r>
    <x v="320"/>
    <x v="2"/>
    <x v="12"/>
    <x v="18"/>
    <x v="3"/>
    <x v="1"/>
  </r>
  <r>
    <x v="321"/>
    <x v="1"/>
    <x v="23"/>
    <x v="196"/>
    <x v="4"/>
    <x v="1"/>
  </r>
  <r>
    <x v="322"/>
    <x v="10"/>
    <x v="2"/>
    <x v="197"/>
    <x v="4"/>
    <x v="1"/>
  </r>
  <r>
    <x v="323"/>
    <x v="5"/>
    <x v="21"/>
    <x v="198"/>
    <x v="3"/>
    <x v="1"/>
  </r>
  <r>
    <x v="324"/>
    <x v="7"/>
    <x v="3"/>
    <x v="134"/>
    <x v="3"/>
    <x v="1"/>
  </r>
  <r>
    <x v="325"/>
    <x v="8"/>
    <x v="7"/>
    <x v="15"/>
    <x v="4"/>
    <x v="1"/>
  </r>
  <r>
    <x v="326"/>
    <x v="7"/>
    <x v="5"/>
    <x v="137"/>
    <x v="5"/>
    <x v="1"/>
  </r>
  <r>
    <x v="327"/>
    <x v="9"/>
    <x v="1"/>
    <x v="174"/>
    <x v="4"/>
    <x v="1"/>
  </r>
  <r>
    <x v="328"/>
    <x v="8"/>
    <x v="24"/>
    <x v="199"/>
    <x v="3"/>
    <x v="1"/>
  </r>
  <r>
    <x v="329"/>
    <x v="6"/>
    <x v="23"/>
    <x v="145"/>
    <x v="5"/>
    <x v="1"/>
  </r>
  <r>
    <x v="330"/>
    <x v="1"/>
    <x v="1"/>
    <x v="1"/>
    <x v="4"/>
    <x v="1"/>
  </r>
  <r>
    <x v="331"/>
    <x v="9"/>
    <x v="14"/>
    <x v="120"/>
    <x v="5"/>
    <x v="1"/>
  </r>
  <r>
    <x v="332"/>
    <x v="9"/>
    <x v="6"/>
    <x v="200"/>
    <x v="5"/>
    <x v="1"/>
  </r>
  <r>
    <x v="333"/>
    <x v="6"/>
    <x v="23"/>
    <x v="145"/>
    <x v="3"/>
    <x v="1"/>
  </r>
  <r>
    <x v="334"/>
    <x v="8"/>
    <x v="6"/>
    <x v="97"/>
    <x v="4"/>
    <x v="1"/>
  </r>
  <r>
    <x v="335"/>
    <x v="8"/>
    <x v="16"/>
    <x v="88"/>
    <x v="3"/>
    <x v="1"/>
  </r>
  <r>
    <x v="336"/>
    <x v="2"/>
    <x v="11"/>
    <x v="201"/>
    <x v="4"/>
    <x v="1"/>
  </r>
  <r>
    <x v="337"/>
    <x v="0"/>
    <x v="16"/>
    <x v="153"/>
    <x v="3"/>
    <x v="1"/>
  </r>
  <r>
    <x v="338"/>
    <x v="10"/>
    <x v="13"/>
    <x v="202"/>
    <x v="3"/>
    <x v="1"/>
  </r>
  <r>
    <x v="339"/>
    <x v="1"/>
    <x v="23"/>
    <x v="196"/>
    <x v="3"/>
    <x v="1"/>
  </r>
  <r>
    <x v="340"/>
    <x v="0"/>
    <x v="9"/>
    <x v="10"/>
    <x v="3"/>
    <x v="1"/>
  </r>
  <r>
    <x v="341"/>
    <x v="6"/>
    <x v="11"/>
    <x v="203"/>
    <x v="4"/>
    <x v="1"/>
  </r>
  <r>
    <x v="342"/>
    <x v="2"/>
    <x v="23"/>
    <x v="40"/>
    <x v="5"/>
    <x v="1"/>
  </r>
  <r>
    <x v="343"/>
    <x v="2"/>
    <x v="13"/>
    <x v="126"/>
    <x v="5"/>
    <x v="1"/>
  </r>
  <r>
    <x v="344"/>
    <x v="2"/>
    <x v="21"/>
    <x v="179"/>
    <x v="5"/>
    <x v="1"/>
  </r>
  <r>
    <x v="345"/>
    <x v="4"/>
    <x v="26"/>
    <x v="45"/>
    <x v="4"/>
    <x v="1"/>
  </r>
  <r>
    <x v="346"/>
    <x v="10"/>
    <x v="22"/>
    <x v="87"/>
    <x v="4"/>
    <x v="1"/>
  </r>
  <r>
    <x v="347"/>
    <x v="10"/>
    <x v="6"/>
    <x v="47"/>
    <x v="4"/>
    <x v="1"/>
  </r>
  <r>
    <x v="348"/>
    <x v="5"/>
    <x v="12"/>
    <x v="102"/>
    <x v="4"/>
    <x v="1"/>
  </r>
  <r>
    <x v="349"/>
    <x v="4"/>
    <x v="28"/>
    <x v="204"/>
    <x v="4"/>
    <x v="1"/>
  </r>
  <r>
    <x v="350"/>
    <x v="0"/>
    <x v="5"/>
    <x v="108"/>
    <x v="4"/>
    <x v="1"/>
  </r>
  <r>
    <x v="351"/>
    <x v="6"/>
    <x v="4"/>
    <x v="205"/>
    <x v="3"/>
    <x v="1"/>
  </r>
  <r>
    <x v="352"/>
    <x v="5"/>
    <x v="15"/>
    <x v="206"/>
    <x v="5"/>
    <x v="1"/>
  </r>
  <r>
    <x v="353"/>
    <x v="7"/>
    <x v="4"/>
    <x v="70"/>
    <x v="4"/>
    <x v="1"/>
  </r>
  <r>
    <x v="354"/>
    <x v="5"/>
    <x v="7"/>
    <x v="14"/>
    <x v="4"/>
    <x v="1"/>
  </r>
  <r>
    <x v="355"/>
    <x v="7"/>
    <x v="16"/>
    <x v="207"/>
    <x v="4"/>
    <x v="1"/>
  </r>
  <r>
    <x v="356"/>
    <x v="2"/>
    <x v="16"/>
    <x v="86"/>
    <x v="4"/>
    <x v="1"/>
  </r>
  <r>
    <x v="357"/>
    <x v="1"/>
    <x v="12"/>
    <x v="208"/>
    <x v="3"/>
    <x v="1"/>
  </r>
  <r>
    <x v="358"/>
    <x v="7"/>
    <x v="21"/>
    <x v="209"/>
    <x v="5"/>
    <x v="1"/>
  </r>
  <r>
    <x v="359"/>
    <x v="0"/>
    <x v="14"/>
    <x v="39"/>
    <x v="4"/>
    <x v="1"/>
  </r>
  <r>
    <x v="360"/>
    <x v="7"/>
    <x v="24"/>
    <x v="210"/>
    <x v="5"/>
    <x v="1"/>
  </r>
  <r>
    <x v="361"/>
    <x v="5"/>
    <x v="14"/>
    <x v="185"/>
    <x v="3"/>
    <x v="1"/>
  </r>
  <r>
    <x v="362"/>
    <x v="7"/>
    <x v="3"/>
    <x v="134"/>
    <x v="4"/>
    <x v="1"/>
  </r>
  <r>
    <x v="363"/>
    <x v="0"/>
    <x v="17"/>
    <x v="74"/>
    <x v="4"/>
    <x v="1"/>
  </r>
  <r>
    <x v="364"/>
    <x v="0"/>
    <x v="29"/>
    <x v="175"/>
    <x v="4"/>
    <x v="1"/>
  </r>
  <r>
    <x v="365"/>
    <x v="0"/>
    <x v="22"/>
    <x v="36"/>
    <x v="3"/>
    <x v="1"/>
  </r>
  <r>
    <x v="366"/>
    <x v="6"/>
    <x v="3"/>
    <x v="25"/>
    <x v="4"/>
    <x v="1"/>
  </r>
  <r>
    <x v="367"/>
    <x v="0"/>
    <x v="7"/>
    <x v="11"/>
    <x v="5"/>
    <x v="1"/>
  </r>
  <r>
    <x v="368"/>
    <x v="3"/>
    <x v="28"/>
    <x v="211"/>
    <x v="4"/>
    <x v="1"/>
  </r>
  <r>
    <x v="369"/>
    <x v="1"/>
    <x v="22"/>
    <x v="162"/>
    <x v="3"/>
    <x v="1"/>
  </r>
  <r>
    <x v="370"/>
    <x v="6"/>
    <x v="29"/>
    <x v="127"/>
    <x v="5"/>
    <x v="1"/>
  </r>
  <r>
    <x v="371"/>
    <x v="5"/>
    <x v="20"/>
    <x v="212"/>
    <x v="4"/>
    <x v="1"/>
  </r>
  <r>
    <x v="372"/>
    <x v="5"/>
    <x v="26"/>
    <x v="59"/>
    <x v="5"/>
    <x v="1"/>
  </r>
  <r>
    <x v="373"/>
    <x v="5"/>
    <x v="1"/>
    <x v="141"/>
    <x v="5"/>
    <x v="1"/>
  </r>
  <r>
    <x v="374"/>
    <x v="6"/>
    <x v="22"/>
    <x v="156"/>
    <x v="3"/>
    <x v="1"/>
  </r>
  <r>
    <x v="375"/>
    <x v="1"/>
    <x v="29"/>
    <x v="190"/>
    <x v="4"/>
    <x v="1"/>
  </r>
  <r>
    <x v="376"/>
    <x v="9"/>
    <x v="29"/>
    <x v="135"/>
    <x v="3"/>
    <x v="1"/>
  </r>
  <r>
    <x v="377"/>
    <x v="0"/>
    <x v="4"/>
    <x v="213"/>
    <x v="4"/>
    <x v="1"/>
  </r>
  <r>
    <x v="378"/>
    <x v="6"/>
    <x v="6"/>
    <x v="214"/>
    <x v="3"/>
    <x v="1"/>
  </r>
  <r>
    <x v="379"/>
    <x v="0"/>
    <x v="11"/>
    <x v="215"/>
    <x v="3"/>
    <x v="1"/>
  </r>
  <r>
    <x v="380"/>
    <x v="4"/>
    <x v="23"/>
    <x v="216"/>
    <x v="3"/>
    <x v="1"/>
  </r>
  <r>
    <x v="381"/>
    <x v="12"/>
    <x v="19"/>
    <x v="217"/>
    <x v="3"/>
    <x v="1"/>
  </r>
  <r>
    <x v="382"/>
    <x v="2"/>
    <x v="23"/>
    <x v="40"/>
    <x v="4"/>
    <x v="1"/>
  </r>
  <r>
    <x v="383"/>
    <x v="10"/>
    <x v="0"/>
    <x v="218"/>
    <x v="5"/>
    <x v="1"/>
  </r>
  <r>
    <x v="384"/>
    <x v="2"/>
    <x v="28"/>
    <x v="73"/>
    <x v="5"/>
    <x v="1"/>
  </r>
  <r>
    <x v="385"/>
    <x v="7"/>
    <x v="17"/>
    <x v="151"/>
    <x v="5"/>
    <x v="1"/>
  </r>
  <r>
    <x v="386"/>
    <x v="1"/>
    <x v="1"/>
    <x v="1"/>
    <x v="4"/>
    <x v="1"/>
  </r>
  <r>
    <x v="387"/>
    <x v="3"/>
    <x v="10"/>
    <x v="169"/>
    <x v="4"/>
    <x v="1"/>
  </r>
  <r>
    <x v="388"/>
    <x v="2"/>
    <x v="23"/>
    <x v="40"/>
    <x v="4"/>
    <x v="1"/>
  </r>
  <r>
    <x v="389"/>
    <x v="10"/>
    <x v="7"/>
    <x v="219"/>
    <x v="4"/>
    <x v="1"/>
  </r>
  <r>
    <x v="390"/>
    <x v="10"/>
    <x v="7"/>
    <x v="219"/>
    <x v="4"/>
    <x v="1"/>
  </r>
  <r>
    <x v="391"/>
    <x v="7"/>
    <x v="13"/>
    <x v="22"/>
    <x v="4"/>
    <x v="1"/>
  </r>
  <r>
    <x v="392"/>
    <x v="0"/>
    <x v="18"/>
    <x v="220"/>
    <x v="3"/>
    <x v="1"/>
  </r>
  <r>
    <x v="393"/>
    <x v="2"/>
    <x v="7"/>
    <x v="123"/>
    <x v="5"/>
    <x v="1"/>
  </r>
  <r>
    <x v="394"/>
    <x v="0"/>
    <x v="23"/>
    <x v="58"/>
    <x v="4"/>
    <x v="1"/>
  </r>
  <r>
    <x v="395"/>
    <x v="1"/>
    <x v="16"/>
    <x v="221"/>
    <x v="4"/>
    <x v="1"/>
  </r>
  <r>
    <x v="396"/>
    <x v="3"/>
    <x v="17"/>
    <x v="147"/>
    <x v="4"/>
    <x v="1"/>
  </r>
  <r>
    <x v="397"/>
    <x v="2"/>
    <x v="1"/>
    <x v="222"/>
    <x v="4"/>
    <x v="1"/>
  </r>
  <r>
    <x v="398"/>
    <x v="1"/>
    <x v="27"/>
    <x v="115"/>
    <x v="3"/>
    <x v="1"/>
  </r>
  <r>
    <x v="399"/>
    <x v="1"/>
    <x v="16"/>
    <x v="221"/>
    <x v="5"/>
    <x v="1"/>
  </r>
  <r>
    <x v="400"/>
    <x v="10"/>
    <x v="16"/>
    <x v="23"/>
    <x v="4"/>
    <x v="1"/>
  </r>
  <r>
    <x v="401"/>
    <x v="9"/>
    <x v="29"/>
    <x v="135"/>
    <x v="5"/>
    <x v="1"/>
  </r>
  <r>
    <x v="402"/>
    <x v="1"/>
    <x v="14"/>
    <x v="223"/>
    <x v="3"/>
    <x v="1"/>
  </r>
  <r>
    <x v="403"/>
    <x v="0"/>
    <x v="22"/>
    <x v="36"/>
    <x v="4"/>
    <x v="1"/>
  </r>
  <r>
    <x v="404"/>
    <x v="9"/>
    <x v="19"/>
    <x v="224"/>
    <x v="4"/>
    <x v="1"/>
  </r>
  <r>
    <x v="405"/>
    <x v="1"/>
    <x v="10"/>
    <x v="118"/>
    <x v="4"/>
    <x v="1"/>
  </r>
  <r>
    <x v="406"/>
    <x v="8"/>
    <x v="9"/>
    <x v="225"/>
    <x v="3"/>
    <x v="1"/>
  </r>
  <r>
    <x v="407"/>
    <x v="7"/>
    <x v="20"/>
    <x v="226"/>
    <x v="4"/>
    <x v="1"/>
  </r>
  <r>
    <x v="408"/>
    <x v="0"/>
    <x v="5"/>
    <x v="108"/>
    <x v="5"/>
    <x v="1"/>
  </r>
  <r>
    <x v="409"/>
    <x v="8"/>
    <x v="29"/>
    <x v="14"/>
    <x v="4"/>
    <x v="1"/>
  </r>
  <r>
    <x v="410"/>
    <x v="9"/>
    <x v="11"/>
    <x v="17"/>
    <x v="3"/>
    <x v="1"/>
  </r>
  <r>
    <x v="411"/>
    <x v="6"/>
    <x v="28"/>
    <x v="227"/>
    <x v="5"/>
    <x v="1"/>
  </r>
  <r>
    <x v="412"/>
    <x v="6"/>
    <x v="4"/>
    <x v="205"/>
    <x v="4"/>
    <x v="1"/>
  </r>
  <r>
    <x v="413"/>
    <x v="0"/>
    <x v="10"/>
    <x v="176"/>
    <x v="5"/>
    <x v="1"/>
  </r>
  <r>
    <x v="414"/>
    <x v="8"/>
    <x v="3"/>
    <x v="38"/>
    <x v="5"/>
    <x v="1"/>
  </r>
  <r>
    <x v="415"/>
    <x v="4"/>
    <x v="8"/>
    <x v="9"/>
    <x v="3"/>
    <x v="1"/>
  </r>
  <r>
    <x v="416"/>
    <x v="12"/>
    <x v="19"/>
    <x v="217"/>
    <x v="4"/>
    <x v="1"/>
  </r>
  <r>
    <x v="417"/>
    <x v="8"/>
    <x v="18"/>
    <x v="49"/>
    <x v="3"/>
    <x v="1"/>
  </r>
  <r>
    <x v="418"/>
    <x v="5"/>
    <x v="7"/>
    <x v="14"/>
    <x v="4"/>
    <x v="1"/>
  </r>
  <r>
    <x v="419"/>
    <x v="4"/>
    <x v="19"/>
    <x v="228"/>
    <x v="3"/>
    <x v="1"/>
  </r>
  <r>
    <x v="420"/>
    <x v="0"/>
    <x v="27"/>
    <x v="150"/>
    <x v="3"/>
    <x v="1"/>
  </r>
  <r>
    <x v="421"/>
    <x v="0"/>
    <x v="1"/>
    <x v="91"/>
    <x v="3"/>
    <x v="1"/>
  </r>
  <r>
    <x v="422"/>
    <x v="6"/>
    <x v="0"/>
    <x v="229"/>
    <x v="3"/>
    <x v="1"/>
  </r>
  <r>
    <x v="423"/>
    <x v="12"/>
    <x v="15"/>
    <x v="230"/>
    <x v="4"/>
    <x v="1"/>
  </r>
  <r>
    <x v="424"/>
    <x v="5"/>
    <x v="28"/>
    <x v="139"/>
    <x v="5"/>
    <x v="1"/>
  </r>
  <r>
    <x v="425"/>
    <x v="8"/>
    <x v="12"/>
    <x v="7"/>
    <x v="5"/>
    <x v="1"/>
  </r>
  <r>
    <x v="426"/>
    <x v="5"/>
    <x v="25"/>
    <x v="231"/>
    <x v="5"/>
    <x v="1"/>
  </r>
  <r>
    <x v="427"/>
    <x v="3"/>
    <x v="1"/>
    <x v="93"/>
    <x v="4"/>
    <x v="1"/>
  </r>
  <r>
    <x v="428"/>
    <x v="5"/>
    <x v="15"/>
    <x v="206"/>
    <x v="4"/>
    <x v="1"/>
  </r>
  <r>
    <x v="429"/>
    <x v="4"/>
    <x v="11"/>
    <x v="140"/>
    <x v="4"/>
    <x v="1"/>
  </r>
  <r>
    <x v="430"/>
    <x v="0"/>
    <x v="12"/>
    <x v="128"/>
    <x v="4"/>
    <x v="1"/>
  </r>
  <r>
    <x v="431"/>
    <x v="7"/>
    <x v="3"/>
    <x v="134"/>
    <x v="4"/>
    <x v="1"/>
  </r>
  <r>
    <x v="432"/>
    <x v="12"/>
    <x v="10"/>
    <x v="232"/>
    <x v="4"/>
    <x v="1"/>
  </r>
  <r>
    <x v="433"/>
    <x v="4"/>
    <x v="30"/>
    <x v="160"/>
    <x v="3"/>
    <x v="1"/>
  </r>
  <r>
    <x v="434"/>
    <x v="1"/>
    <x v="17"/>
    <x v="233"/>
    <x v="5"/>
    <x v="1"/>
  </r>
  <r>
    <x v="435"/>
    <x v="1"/>
    <x v="28"/>
    <x v="234"/>
    <x v="4"/>
    <x v="1"/>
  </r>
  <r>
    <x v="436"/>
    <x v="2"/>
    <x v="21"/>
    <x v="179"/>
    <x v="4"/>
    <x v="1"/>
  </r>
  <r>
    <x v="437"/>
    <x v="4"/>
    <x v="1"/>
    <x v="235"/>
    <x v="4"/>
    <x v="1"/>
  </r>
  <r>
    <x v="438"/>
    <x v="1"/>
    <x v="5"/>
    <x v="82"/>
    <x v="4"/>
    <x v="1"/>
  </r>
  <r>
    <x v="439"/>
    <x v="6"/>
    <x v="12"/>
    <x v="84"/>
    <x v="3"/>
    <x v="1"/>
  </r>
  <r>
    <x v="440"/>
    <x v="2"/>
    <x v="12"/>
    <x v="18"/>
    <x v="5"/>
    <x v="1"/>
  </r>
  <r>
    <x v="441"/>
    <x v="8"/>
    <x v="1"/>
    <x v="161"/>
    <x v="4"/>
    <x v="1"/>
  </r>
  <r>
    <x v="442"/>
    <x v="1"/>
    <x v="25"/>
    <x v="55"/>
    <x v="5"/>
    <x v="1"/>
  </r>
  <r>
    <x v="443"/>
    <x v="0"/>
    <x v="5"/>
    <x v="108"/>
    <x v="3"/>
    <x v="1"/>
  </r>
  <r>
    <x v="444"/>
    <x v="2"/>
    <x v="6"/>
    <x v="100"/>
    <x v="4"/>
    <x v="1"/>
  </r>
  <r>
    <x v="445"/>
    <x v="11"/>
    <x v="17"/>
    <x v="236"/>
    <x v="4"/>
    <x v="1"/>
  </r>
  <r>
    <x v="446"/>
    <x v="4"/>
    <x v="0"/>
    <x v="96"/>
    <x v="4"/>
    <x v="1"/>
  </r>
  <r>
    <x v="447"/>
    <x v="0"/>
    <x v="7"/>
    <x v="11"/>
    <x v="3"/>
    <x v="1"/>
  </r>
  <r>
    <x v="448"/>
    <x v="1"/>
    <x v="16"/>
    <x v="221"/>
    <x v="4"/>
    <x v="1"/>
  </r>
  <r>
    <x v="449"/>
    <x v="1"/>
    <x v="27"/>
    <x v="115"/>
    <x v="5"/>
    <x v="1"/>
  </r>
  <r>
    <x v="450"/>
    <x v="2"/>
    <x v="22"/>
    <x v="237"/>
    <x v="4"/>
    <x v="1"/>
  </r>
  <r>
    <x v="451"/>
    <x v="7"/>
    <x v="26"/>
    <x v="125"/>
    <x v="3"/>
    <x v="1"/>
  </r>
  <r>
    <x v="452"/>
    <x v="2"/>
    <x v="26"/>
    <x v="238"/>
    <x v="5"/>
    <x v="1"/>
  </r>
  <r>
    <x v="453"/>
    <x v="7"/>
    <x v="7"/>
    <x v="104"/>
    <x v="4"/>
    <x v="1"/>
  </r>
  <r>
    <x v="454"/>
    <x v="7"/>
    <x v="1"/>
    <x v="171"/>
    <x v="4"/>
    <x v="2"/>
  </r>
  <r>
    <x v="455"/>
    <x v="9"/>
    <x v="28"/>
    <x v="239"/>
    <x v="3"/>
    <x v="2"/>
  </r>
  <r>
    <x v="456"/>
    <x v="1"/>
    <x v="5"/>
    <x v="82"/>
    <x v="3"/>
    <x v="2"/>
  </r>
  <r>
    <x v="457"/>
    <x v="0"/>
    <x v="5"/>
    <x v="108"/>
    <x v="3"/>
    <x v="2"/>
  </r>
  <r>
    <x v="458"/>
    <x v="0"/>
    <x v="21"/>
    <x v="121"/>
    <x v="3"/>
    <x v="2"/>
  </r>
  <r>
    <x v="459"/>
    <x v="0"/>
    <x v="26"/>
    <x v="67"/>
    <x v="3"/>
    <x v="2"/>
  </r>
  <r>
    <x v="460"/>
    <x v="6"/>
    <x v="16"/>
    <x v="116"/>
    <x v="3"/>
    <x v="2"/>
  </r>
  <r>
    <x v="461"/>
    <x v="0"/>
    <x v="23"/>
    <x v="58"/>
    <x v="3"/>
    <x v="2"/>
  </r>
  <r>
    <x v="462"/>
    <x v="0"/>
    <x v="4"/>
    <x v="213"/>
    <x v="3"/>
    <x v="2"/>
  </r>
  <r>
    <x v="463"/>
    <x v="6"/>
    <x v="6"/>
    <x v="214"/>
    <x v="3"/>
    <x v="2"/>
  </r>
  <r>
    <x v="464"/>
    <x v="0"/>
    <x v="1"/>
    <x v="91"/>
    <x v="3"/>
    <x v="2"/>
  </r>
  <r>
    <x v="465"/>
    <x v="4"/>
    <x v="7"/>
    <x v="7"/>
    <x v="3"/>
    <x v="2"/>
  </r>
  <r>
    <x v="466"/>
    <x v="2"/>
    <x v="5"/>
    <x v="5"/>
    <x v="3"/>
    <x v="2"/>
  </r>
  <r>
    <x v="467"/>
    <x v="6"/>
    <x v="21"/>
    <x v="131"/>
    <x v="3"/>
    <x v="2"/>
  </r>
  <r>
    <x v="468"/>
    <x v="5"/>
    <x v="28"/>
    <x v="139"/>
    <x v="3"/>
    <x v="2"/>
  </r>
  <r>
    <x v="469"/>
    <x v="6"/>
    <x v="23"/>
    <x v="145"/>
    <x v="3"/>
    <x v="2"/>
  </r>
  <r>
    <x v="470"/>
    <x v="12"/>
    <x v="14"/>
    <x v="240"/>
    <x v="4"/>
    <x v="2"/>
  </r>
  <r>
    <x v="471"/>
    <x v="0"/>
    <x v="30"/>
    <x v="132"/>
    <x v="3"/>
    <x v="2"/>
  </r>
  <r>
    <x v="472"/>
    <x v="0"/>
    <x v="16"/>
    <x v="153"/>
    <x v="4"/>
    <x v="2"/>
  </r>
  <r>
    <x v="473"/>
    <x v="0"/>
    <x v="18"/>
    <x v="220"/>
    <x v="3"/>
    <x v="2"/>
  </r>
  <r>
    <x v="474"/>
    <x v="0"/>
    <x v="16"/>
    <x v="153"/>
    <x v="4"/>
    <x v="2"/>
  </r>
  <r>
    <x v="475"/>
    <x v="6"/>
    <x v="12"/>
    <x v="84"/>
    <x v="3"/>
    <x v="2"/>
  </r>
  <r>
    <x v="476"/>
    <x v="3"/>
    <x v="11"/>
    <x v="241"/>
    <x v="4"/>
    <x v="2"/>
  </r>
  <r>
    <x v="477"/>
    <x v="9"/>
    <x v="13"/>
    <x v="242"/>
    <x v="3"/>
    <x v="2"/>
  </r>
  <r>
    <x v="478"/>
    <x v="4"/>
    <x v="11"/>
    <x v="140"/>
    <x v="4"/>
    <x v="2"/>
  </r>
  <r>
    <x v="479"/>
    <x v="11"/>
    <x v="10"/>
    <x v="243"/>
    <x v="3"/>
    <x v="2"/>
  </r>
  <r>
    <x v="480"/>
    <x v="5"/>
    <x v="2"/>
    <x v="244"/>
    <x v="4"/>
    <x v="2"/>
  </r>
  <r>
    <x v="481"/>
    <x v="2"/>
    <x v="9"/>
    <x v="56"/>
    <x v="4"/>
    <x v="2"/>
  </r>
  <r>
    <x v="482"/>
    <x v="3"/>
    <x v="1"/>
    <x v="93"/>
    <x v="3"/>
    <x v="2"/>
  </r>
  <r>
    <x v="483"/>
    <x v="0"/>
    <x v="2"/>
    <x v="245"/>
    <x v="4"/>
    <x v="2"/>
  </r>
  <r>
    <x v="484"/>
    <x v="1"/>
    <x v="11"/>
    <x v="44"/>
    <x v="3"/>
    <x v="2"/>
  </r>
  <r>
    <x v="485"/>
    <x v="5"/>
    <x v="8"/>
    <x v="246"/>
    <x v="4"/>
    <x v="2"/>
  </r>
  <r>
    <x v="486"/>
    <x v="2"/>
    <x v="10"/>
    <x v="194"/>
    <x v="4"/>
    <x v="2"/>
  </r>
  <r>
    <x v="487"/>
    <x v="7"/>
    <x v="30"/>
    <x v="89"/>
    <x v="4"/>
    <x v="2"/>
  </r>
  <r>
    <x v="488"/>
    <x v="6"/>
    <x v="2"/>
    <x v="247"/>
    <x v="4"/>
    <x v="2"/>
  </r>
  <r>
    <x v="489"/>
    <x v="7"/>
    <x v="26"/>
    <x v="125"/>
    <x v="3"/>
    <x v="2"/>
  </r>
  <r>
    <x v="490"/>
    <x v="2"/>
    <x v="17"/>
    <x v="45"/>
    <x v="3"/>
    <x v="2"/>
  </r>
  <r>
    <x v="491"/>
    <x v="8"/>
    <x v="1"/>
    <x v="161"/>
    <x v="3"/>
    <x v="2"/>
  </r>
  <r>
    <x v="492"/>
    <x v="5"/>
    <x v="4"/>
    <x v="8"/>
    <x v="4"/>
    <x v="2"/>
  </r>
  <r>
    <x v="493"/>
    <x v="0"/>
    <x v="0"/>
    <x v="0"/>
    <x v="3"/>
    <x v="2"/>
  </r>
  <r>
    <x v="494"/>
    <x v="5"/>
    <x v="1"/>
    <x v="141"/>
    <x v="3"/>
    <x v="2"/>
  </r>
  <r>
    <x v="495"/>
    <x v="5"/>
    <x v="7"/>
    <x v="14"/>
    <x v="3"/>
    <x v="2"/>
  </r>
  <r>
    <x v="496"/>
    <x v="11"/>
    <x v="21"/>
    <x v="182"/>
    <x v="4"/>
    <x v="2"/>
  </r>
  <r>
    <x v="497"/>
    <x v="5"/>
    <x v="7"/>
    <x v="14"/>
    <x v="3"/>
    <x v="2"/>
  </r>
  <r>
    <x v="498"/>
    <x v="5"/>
    <x v="7"/>
    <x v="14"/>
    <x v="3"/>
    <x v="2"/>
  </r>
  <r>
    <x v="499"/>
    <x v="4"/>
    <x v="22"/>
    <x v="81"/>
    <x v="3"/>
    <x v="2"/>
  </r>
  <r>
    <x v="500"/>
    <x v="0"/>
    <x v="24"/>
    <x v="157"/>
    <x v="3"/>
    <x v="2"/>
  </r>
  <r>
    <x v="501"/>
    <x v="6"/>
    <x v="3"/>
    <x v="25"/>
    <x v="3"/>
    <x v="2"/>
  </r>
  <r>
    <x v="502"/>
    <x v="2"/>
    <x v="28"/>
    <x v="73"/>
    <x v="3"/>
    <x v="2"/>
  </r>
  <r>
    <x v="503"/>
    <x v="8"/>
    <x v="9"/>
    <x v="225"/>
    <x v="4"/>
    <x v="2"/>
  </r>
  <r>
    <x v="504"/>
    <x v="8"/>
    <x v="26"/>
    <x v="68"/>
    <x v="4"/>
    <x v="2"/>
  </r>
  <r>
    <x v="505"/>
    <x v="1"/>
    <x v="12"/>
    <x v="208"/>
    <x v="3"/>
    <x v="2"/>
  </r>
  <r>
    <x v="506"/>
    <x v="3"/>
    <x v="1"/>
    <x v="93"/>
    <x v="4"/>
    <x v="2"/>
  </r>
  <r>
    <x v="507"/>
    <x v="9"/>
    <x v="5"/>
    <x v="98"/>
    <x v="4"/>
    <x v="2"/>
  </r>
  <r>
    <x v="508"/>
    <x v="6"/>
    <x v="7"/>
    <x v="63"/>
    <x v="3"/>
    <x v="2"/>
  </r>
  <r>
    <x v="509"/>
    <x v="9"/>
    <x v="19"/>
    <x v="224"/>
    <x v="4"/>
    <x v="2"/>
  </r>
  <r>
    <x v="510"/>
    <x v="0"/>
    <x v="22"/>
    <x v="36"/>
    <x v="4"/>
    <x v="2"/>
  </r>
  <r>
    <x v="511"/>
    <x v="6"/>
    <x v="14"/>
    <x v="149"/>
    <x v="3"/>
    <x v="2"/>
  </r>
  <r>
    <x v="512"/>
    <x v="6"/>
    <x v="0"/>
    <x v="229"/>
    <x v="4"/>
    <x v="2"/>
  </r>
  <r>
    <x v="513"/>
    <x v="5"/>
    <x v="2"/>
    <x v="244"/>
    <x v="4"/>
    <x v="2"/>
  </r>
  <r>
    <x v="514"/>
    <x v="3"/>
    <x v="13"/>
    <x v="248"/>
    <x v="3"/>
    <x v="2"/>
  </r>
  <r>
    <x v="515"/>
    <x v="6"/>
    <x v="18"/>
    <x v="249"/>
    <x v="3"/>
    <x v="2"/>
  </r>
  <r>
    <x v="516"/>
    <x v="0"/>
    <x v="20"/>
    <x v="114"/>
    <x v="3"/>
    <x v="2"/>
  </r>
  <r>
    <x v="517"/>
    <x v="3"/>
    <x v="7"/>
    <x v="250"/>
    <x v="3"/>
    <x v="2"/>
  </r>
  <r>
    <x v="518"/>
    <x v="4"/>
    <x v="12"/>
    <x v="155"/>
    <x v="3"/>
    <x v="2"/>
  </r>
  <r>
    <x v="519"/>
    <x v="2"/>
    <x v="23"/>
    <x v="40"/>
    <x v="3"/>
    <x v="2"/>
  </r>
  <r>
    <x v="520"/>
    <x v="12"/>
    <x v="19"/>
    <x v="217"/>
    <x v="3"/>
    <x v="2"/>
  </r>
  <r>
    <x v="521"/>
    <x v="1"/>
    <x v="28"/>
    <x v="234"/>
    <x v="3"/>
    <x v="2"/>
  </r>
  <r>
    <x v="522"/>
    <x v="7"/>
    <x v="3"/>
    <x v="134"/>
    <x v="3"/>
    <x v="2"/>
  </r>
  <r>
    <x v="523"/>
    <x v="11"/>
    <x v="4"/>
    <x v="251"/>
    <x v="4"/>
    <x v="2"/>
  </r>
  <r>
    <x v="524"/>
    <x v="4"/>
    <x v="29"/>
    <x v="102"/>
    <x v="4"/>
    <x v="2"/>
  </r>
  <r>
    <x v="525"/>
    <x v="6"/>
    <x v="0"/>
    <x v="229"/>
    <x v="4"/>
    <x v="2"/>
  </r>
  <r>
    <x v="526"/>
    <x v="2"/>
    <x v="30"/>
    <x v="105"/>
    <x v="4"/>
    <x v="2"/>
  </r>
  <r>
    <x v="527"/>
    <x v="5"/>
    <x v="23"/>
    <x v="187"/>
    <x v="4"/>
    <x v="2"/>
  </r>
  <r>
    <x v="528"/>
    <x v="4"/>
    <x v="18"/>
    <x v="68"/>
    <x v="4"/>
    <x v="2"/>
  </r>
  <r>
    <x v="529"/>
    <x v="4"/>
    <x v="21"/>
    <x v="148"/>
    <x v="4"/>
    <x v="2"/>
  </r>
  <r>
    <x v="530"/>
    <x v="10"/>
    <x v="11"/>
    <x v="252"/>
    <x v="4"/>
    <x v="2"/>
  </r>
  <r>
    <x v="531"/>
    <x v="6"/>
    <x v="23"/>
    <x v="145"/>
    <x v="4"/>
    <x v="2"/>
  </r>
  <r>
    <x v="532"/>
    <x v="2"/>
    <x v="2"/>
    <x v="2"/>
    <x v="3"/>
    <x v="2"/>
  </r>
  <r>
    <x v="533"/>
    <x v="7"/>
    <x v="15"/>
    <x v="189"/>
    <x v="3"/>
    <x v="2"/>
  </r>
  <r>
    <x v="534"/>
    <x v="0"/>
    <x v="15"/>
    <x v="142"/>
    <x v="4"/>
    <x v="2"/>
  </r>
  <r>
    <x v="535"/>
    <x v="2"/>
    <x v="3"/>
    <x v="253"/>
    <x v="4"/>
    <x v="2"/>
  </r>
  <r>
    <x v="536"/>
    <x v="1"/>
    <x v="25"/>
    <x v="55"/>
    <x v="4"/>
    <x v="2"/>
  </r>
  <r>
    <x v="537"/>
    <x v="0"/>
    <x v="1"/>
    <x v="91"/>
    <x v="4"/>
    <x v="2"/>
  </r>
  <r>
    <x v="538"/>
    <x v="3"/>
    <x v="10"/>
    <x v="169"/>
    <x v="3"/>
    <x v="2"/>
  </r>
  <r>
    <x v="539"/>
    <x v="5"/>
    <x v="18"/>
    <x v="254"/>
    <x v="4"/>
    <x v="2"/>
  </r>
  <r>
    <x v="540"/>
    <x v="7"/>
    <x v="6"/>
    <x v="51"/>
    <x v="4"/>
    <x v="2"/>
  </r>
  <r>
    <x v="541"/>
    <x v="2"/>
    <x v="29"/>
    <x v="83"/>
    <x v="4"/>
    <x v="2"/>
  </r>
  <r>
    <x v="542"/>
    <x v="3"/>
    <x v="29"/>
    <x v="255"/>
    <x v="3"/>
    <x v="2"/>
  </r>
  <r>
    <x v="543"/>
    <x v="2"/>
    <x v="14"/>
    <x v="26"/>
    <x v="4"/>
    <x v="2"/>
  </r>
  <r>
    <x v="544"/>
    <x v="7"/>
    <x v="18"/>
    <x v="29"/>
    <x v="4"/>
    <x v="2"/>
  </r>
  <r>
    <x v="545"/>
    <x v="10"/>
    <x v="26"/>
    <x v="192"/>
    <x v="4"/>
    <x v="2"/>
  </r>
  <r>
    <x v="546"/>
    <x v="0"/>
    <x v="12"/>
    <x v="128"/>
    <x v="3"/>
    <x v="2"/>
  </r>
  <r>
    <x v="547"/>
    <x v="12"/>
    <x v="22"/>
    <x v="129"/>
    <x v="4"/>
    <x v="2"/>
  </r>
  <r>
    <x v="548"/>
    <x v="7"/>
    <x v="14"/>
    <x v="20"/>
    <x v="4"/>
    <x v="2"/>
  </r>
  <r>
    <x v="549"/>
    <x v="8"/>
    <x v="7"/>
    <x v="15"/>
    <x v="4"/>
    <x v="2"/>
  </r>
  <r>
    <x v="550"/>
    <x v="10"/>
    <x v="4"/>
    <x v="256"/>
    <x v="3"/>
    <x v="2"/>
  </r>
  <r>
    <x v="551"/>
    <x v="8"/>
    <x v="22"/>
    <x v="249"/>
    <x v="4"/>
    <x v="2"/>
  </r>
  <r>
    <x v="552"/>
    <x v="4"/>
    <x v="28"/>
    <x v="204"/>
    <x v="4"/>
    <x v="2"/>
  </r>
  <r>
    <x v="553"/>
    <x v="1"/>
    <x v="20"/>
    <x v="257"/>
    <x v="4"/>
    <x v="2"/>
  </r>
  <r>
    <x v="554"/>
    <x v="7"/>
    <x v="22"/>
    <x v="41"/>
    <x v="3"/>
    <x v="2"/>
  </r>
  <r>
    <x v="555"/>
    <x v="0"/>
    <x v="25"/>
    <x v="158"/>
    <x v="3"/>
    <x v="2"/>
  </r>
  <r>
    <x v="556"/>
    <x v="4"/>
    <x v="21"/>
    <x v="148"/>
    <x v="3"/>
    <x v="2"/>
  </r>
  <r>
    <x v="557"/>
    <x v="6"/>
    <x v="27"/>
    <x v="148"/>
    <x v="4"/>
    <x v="2"/>
  </r>
  <r>
    <x v="558"/>
    <x v="2"/>
    <x v="4"/>
    <x v="181"/>
    <x v="3"/>
    <x v="2"/>
  </r>
  <r>
    <x v="559"/>
    <x v="5"/>
    <x v="1"/>
    <x v="141"/>
    <x v="3"/>
    <x v="2"/>
  </r>
  <r>
    <x v="560"/>
    <x v="0"/>
    <x v="2"/>
    <x v="245"/>
    <x v="3"/>
    <x v="2"/>
  </r>
  <r>
    <x v="561"/>
    <x v="1"/>
    <x v="15"/>
    <x v="258"/>
    <x v="4"/>
    <x v="2"/>
  </r>
  <r>
    <x v="562"/>
    <x v="11"/>
    <x v="23"/>
    <x v="177"/>
    <x v="3"/>
    <x v="2"/>
  </r>
  <r>
    <x v="563"/>
    <x v="0"/>
    <x v="1"/>
    <x v="91"/>
    <x v="3"/>
    <x v="2"/>
  </r>
  <r>
    <x v="564"/>
    <x v="0"/>
    <x v="27"/>
    <x v="150"/>
    <x v="3"/>
    <x v="2"/>
  </r>
  <r>
    <x v="565"/>
    <x v="6"/>
    <x v="28"/>
    <x v="227"/>
    <x v="4"/>
    <x v="2"/>
  </r>
  <r>
    <x v="566"/>
    <x v="6"/>
    <x v="0"/>
    <x v="229"/>
    <x v="3"/>
    <x v="2"/>
  </r>
  <r>
    <x v="567"/>
    <x v="1"/>
    <x v="22"/>
    <x v="162"/>
    <x v="3"/>
    <x v="2"/>
  </r>
  <r>
    <x v="568"/>
    <x v="1"/>
    <x v="30"/>
    <x v="259"/>
    <x v="3"/>
    <x v="2"/>
  </r>
  <r>
    <x v="569"/>
    <x v="6"/>
    <x v="26"/>
    <x v="81"/>
    <x v="4"/>
    <x v="2"/>
  </r>
  <r>
    <x v="570"/>
    <x v="1"/>
    <x v="15"/>
    <x v="258"/>
    <x v="3"/>
    <x v="2"/>
  </r>
  <r>
    <x v="571"/>
    <x v="0"/>
    <x v="1"/>
    <x v="91"/>
    <x v="3"/>
    <x v="2"/>
  </r>
  <r>
    <x v="572"/>
    <x v="1"/>
    <x v="16"/>
    <x v="221"/>
    <x v="3"/>
    <x v="2"/>
  </r>
  <r>
    <x v="573"/>
    <x v="9"/>
    <x v="24"/>
    <x v="172"/>
    <x v="4"/>
    <x v="2"/>
  </r>
  <r>
    <x v="574"/>
    <x v="3"/>
    <x v="23"/>
    <x v="260"/>
    <x v="3"/>
    <x v="2"/>
  </r>
  <r>
    <x v="575"/>
    <x v="0"/>
    <x v="4"/>
    <x v="213"/>
    <x v="3"/>
    <x v="2"/>
  </r>
  <r>
    <x v="576"/>
    <x v="5"/>
    <x v="0"/>
    <x v="261"/>
    <x v="3"/>
    <x v="2"/>
  </r>
  <r>
    <x v="577"/>
    <x v="0"/>
    <x v="19"/>
    <x v="95"/>
    <x v="4"/>
    <x v="2"/>
  </r>
  <r>
    <x v="578"/>
    <x v="2"/>
    <x v="1"/>
    <x v="222"/>
    <x v="4"/>
    <x v="2"/>
  </r>
  <r>
    <x v="579"/>
    <x v="1"/>
    <x v="14"/>
    <x v="223"/>
    <x v="4"/>
    <x v="2"/>
  </r>
  <r>
    <x v="580"/>
    <x v="7"/>
    <x v="0"/>
    <x v="57"/>
    <x v="4"/>
    <x v="2"/>
  </r>
  <r>
    <x v="581"/>
    <x v="0"/>
    <x v="29"/>
    <x v="175"/>
    <x v="4"/>
    <x v="2"/>
  </r>
  <r>
    <x v="582"/>
    <x v="10"/>
    <x v="3"/>
    <x v="79"/>
    <x v="4"/>
    <x v="2"/>
  </r>
  <r>
    <x v="583"/>
    <x v="2"/>
    <x v="0"/>
    <x v="184"/>
    <x v="4"/>
    <x v="2"/>
  </r>
  <r>
    <x v="584"/>
    <x v="1"/>
    <x v="23"/>
    <x v="196"/>
    <x v="4"/>
    <x v="2"/>
  </r>
  <r>
    <x v="585"/>
    <x v="10"/>
    <x v="1"/>
    <x v="110"/>
    <x v="4"/>
    <x v="2"/>
  </r>
  <r>
    <x v="586"/>
    <x v="7"/>
    <x v="5"/>
    <x v="137"/>
    <x v="4"/>
    <x v="2"/>
  </r>
  <r>
    <x v="587"/>
    <x v="10"/>
    <x v="26"/>
    <x v="192"/>
    <x v="4"/>
    <x v="2"/>
  </r>
  <r>
    <x v="588"/>
    <x v="9"/>
    <x v="2"/>
    <x v="262"/>
    <x v="3"/>
    <x v="2"/>
  </r>
  <r>
    <x v="589"/>
    <x v="1"/>
    <x v="3"/>
    <x v="3"/>
    <x v="3"/>
    <x v="2"/>
  </r>
  <r>
    <x v="590"/>
    <x v="1"/>
    <x v="20"/>
    <x v="257"/>
    <x v="3"/>
    <x v="2"/>
  </r>
  <r>
    <x v="591"/>
    <x v="6"/>
    <x v="26"/>
    <x v="81"/>
    <x v="3"/>
    <x v="2"/>
  </r>
  <r>
    <x v="592"/>
    <x v="7"/>
    <x v="24"/>
    <x v="210"/>
    <x v="3"/>
    <x v="2"/>
  </r>
  <r>
    <x v="593"/>
    <x v="10"/>
    <x v="19"/>
    <x v="263"/>
    <x v="3"/>
    <x v="2"/>
  </r>
  <r>
    <x v="594"/>
    <x v="6"/>
    <x v="13"/>
    <x v="53"/>
    <x v="3"/>
    <x v="2"/>
  </r>
  <r>
    <x v="595"/>
    <x v="11"/>
    <x v="6"/>
    <x v="122"/>
    <x v="3"/>
    <x v="2"/>
  </r>
  <r>
    <x v="596"/>
    <x v="6"/>
    <x v="30"/>
    <x v="163"/>
    <x v="3"/>
    <x v="2"/>
  </r>
  <r>
    <x v="597"/>
    <x v="4"/>
    <x v="25"/>
    <x v="62"/>
    <x v="3"/>
    <x v="2"/>
  </r>
  <r>
    <x v="598"/>
    <x v="1"/>
    <x v="13"/>
    <x v="19"/>
    <x v="3"/>
    <x v="2"/>
  </r>
  <r>
    <x v="599"/>
    <x v="4"/>
    <x v="7"/>
    <x v="7"/>
    <x v="3"/>
    <x v="2"/>
  </r>
  <r>
    <x v="600"/>
    <x v="11"/>
    <x v="19"/>
    <x v="264"/>
    <x v="3"/>
    <x v="2"/>
  </r>
  <r>
    <x v="601"/>
    <x v="0"/>
    <x v="29"/>
    <x v="175"/>
    <x v="3"/>
    <x v="2"/>
  </r>
  <r>
    <x v="602"/>
    <x v="8"/>
    <x v="29"/>
    <x v="14"/>
    <x v="4"/>
    <x v="2"/>
  </r>
  <r>
    <x v="603"/>
    <x v="9"/>
    <x v="7"/>
    <x v="265"/>
    <x v="4"/>
    <x v="2"/>
  </r>
  <r>
    <x v="604"/>
    <x v="1"/>
    <x v="22"/>
    <x v="162"/>
    <x v="3"/>
    <x v="2"/>
  </r>
  <r>
    <x v="605"/>
    <x v="4"/>
    <x v="26"/>
    <x v="45"/>
    <x v="3"/>
    <x v="2"/>
  </r>
  <r>
    <x v="606"/>
    <x v="4"/>
    <x v="8"/>
    <x v="9"/>
    <x v="3"/>
    <x v="2"/>
  </r>
  <r>
    <x v="607"/>
    <x v="1"/>
    <x v="22"/>
    <x v="162"/>
    <x v="4"/>
    <x v="2"/>
  </r>
  <r>
    <x v="608"/>
    <x v="10"/>
    <x v="5"/>
    <x v="164"/>
    <x v="4"/>
    <x v="2"/>
  </r>
  <r>
    <x v="609"/>
    <x v="0"/>
    <x v="3"/>
    <x v="152"/>
    <x v="3"/>
    <x v="2"/>
  </r>
  <r>
    <x v="610"/>
    <x v="8"/>
    <x v="27"/>
    <x v="63"/>
    <x v="3"/>
    <x v="2"/>
  </r>
  <r>
    <x v="611"/>
    <x v="7"/>
    <x v="25"/>
    <x v="266"/>
    <x v="3"/>
    <x v="2"/>
  </r>
  <r>
    <x v="612"/>
    <x v="10"/>
    <x v="9"/>
    <x v="267"/>
    <x v="3"/>
    <x v="2"/>
  </r>
  <r>
    <x v="613"/>
    <x v="8"/>
    <x v="12"/>
    <x v="7"/>
    <x v="4"/>
    <x v="2"/>
  </r>
  <r>
    <x v="614"/>
    <x v="0"/>
    <x v="18"/>
    <x v="220"/>
    <x v="3"/>
    <x v="2"/>
  </r>
  <r>
    <x v="615"/>
    <x v="4"/>
    <x v="12"/>
    <x v="155"/>
    <x v="4"/>
    <x v="2"/>
  </r>
  <r>
    <x v="616"/>
    <x v="11"/>
    <x v="9"/>
    <x v="66"/>
    <x v="3"/>
    <x v="2"/>
  </r>
  <r>
    <x v="617"/>
    <x v="8"/>
    <x v="9"/>
    <x v="225"/>
    <x v="4"/>
    <x v="2"/>
  </r>
  <r>
    <x v="618"/>
    <x v="6"/>
    <x v="2"/>
    <x v="247"/>
    <x v="3"/>
    <x v="2"/>
  </r>
  <r>
    <x v="619"/>
    <x v="5"/>
    <x v="30"/>
    <x v="268"/>
    <x v="4"/>
    <x v="2"/>
  </r>
  <r>
    <x v="620"/>
    <x v="0"/>
    <x v="7"/>
    <x v="11"/>
    <x v="3"/>
    <x v="2"/>
  </r>
  <r>
    <x v="621"/>
    <x v="2"/>
    <x v="14"/>
    <x v="26"/>
    <x v="4"/>
    <x v="2"/>
  </r>
  <r>
    <x v="622"/>
    <x v="9"/>
    <x v="30"/>
    <x v="136"/>
    <x v="3"/>
    <x v="2"/>
  </r>
  <r>
    <x v="623"/>
    <x v="6"/>
    <x v="16"/>
    <x v="116"/>
    <x v="4"/>
    <x v="2"/>
  </r>
  <r>
    <x v="624"/>
    <x v="2"/>
    <x v="4"/>
    <x v="181"/>
    <x v="3"/>
    <x v="2"/>
  </r>
  <r>
    <x v="625"/>
    <x v="6"/>
    <x v="27"/>
    <x v="148"/>
    <x v="4"/>
    <x v="2"/>
  </r>
  <r>
    <x v="626"/>
    <x v="11"/>
    <x v="1"/>
    <x v="144"/>
    <x v="3"/>
    <x v="2"/>
  </r>
  <r>
    <x v="627"/>
    <x v="0"/>
    <x v="24"/>
    <x v="157"/>
    <x v="4"/>
    <x v="2"/>
  </r>
  <r>
    <x v="628"/>
    <x v="2"/>
    <x v="10"/>
    <x v="194"/>
    <x v="3"/>
    <x v="2"/>
  </r>
  <r>
    <x v="629"/>
    <x v="6"/>
    <x v="16"/>
    <x v="116"/>
    <x v="4"/>
    <x v="2"/>
  </r>
  <r>
    <x v="630"/>
    <x v="2"/>
    <x v="30"/>
    <x v="105"/>
    <x v="3"/>
    <x v="2"/>
  </r>
  <r>
    <x v="631"/>
    <x v="8"/>
    <x v="26"/>
    <x v="68"/>
    <x v="3"/>
    <x v="2"/>
  </r>
  <r>
    <x v="632"/>
    <x v="6"/>
    <x v="11"/>
    <x v="203"/>
    <x v="3"/>
    <x v="2"/>
  </r>
  <r>
    <x v="633"/>
    <x v="1"/>
    <x v="2"/>
    <x v="269"/>
    <x v="3"/>
    <x v="2"/>
  </r>
  <r>
    <x v="634"/>
    <x v="2"/>
    <x v="26"/>
    <x v="238"/>
    <x v="4"/>
    <x v="2"/>
  </r>
  <r>
    <x v="635"/>
    <x v="11"/>
    <x v="28"/>
    <x v="195"/>
    <x v="3"/>
    <x v="2"/>
  </r>
  <r>
    <x v="636"/>
    <x v="1"/>
    <x v="1"/>
    <x v="1"/>
    <x v="3"/>
    <x v="2"/>
  </r>
  <r>
    <x v="637"/>
    <x v="3"/>
    <x v="23"/>
    <x v="260"/>
    <x v="3"/>
    <x v="2"/>
  </r>
  <r>
    <x v="638"/>
    <x v="2"/>
    <x v="13"/>
    <x v="126"/>
    <x v="4"/>
    <x v="2"/>
  </r>
  <r>
    <x v="639"/>
    <x v="2"/>
    <x v="12"/>
    <x v="18"/>
    <x v="3"/>
    <x v="2"/>
  </r>
  <r>
    <x v="640"/>
    <x v="0"/>
    <x v="30"/>
    <x v="132"/>
    <x v="3"/>
    <x v="2"/>
  </r>
  <r>
    <x v="641"/>
    <x v="10"/>
    <x v="30"/>
    <x v="270"/>
    <x v="3"/>
    <x v="2"/>
  </r>
  <r>
    <x v="642"/>
    <x v="7"/>
    <x v="11"/>
    <x v="271"/>
    <x v="4"/>
    <x v="2"/>
  </r>
  <r>
    <x v="643"/>
    <x v="0"/>
    <x v="6"/>
    <x v="6"/>
    <x v="3"/>
    <x v="2"/>
  </r>
  <r>
    <x v="644"/>
    <x v="1"/>
    <x v="0"/>
    <x v="165"/>
    <x v="3"/>
    <x v="2"/>
  </r>
  <r>
    <x v="645"/>
    <x v="2"/>
    <x v="13"/>
    <x v="126"/>
    <x v="3"/>
    <x v="2"/>
  </r>
  <r>
    <x v="646"/>
    <x v="2"/>
    <x v="29"/>
    <x v="83"/>
    <x v="4"/>
    <x v="2"/>
  </r>
  <r>
    <x v="647"/>
    <x v="10"/>
    <x v="23"/>
    <x v="272"/>
    <x v="3"/>
    <x v="2"/>
  </r>
  <r>
    <x v="648"/>
    <x v="1"/>
    <x v="21"/>
    <x v="33"/>
    <x v="3"/>
    <x v="2"/>
  </r>
  <r>
    <x v="649"/>
    <x v="11"/>
    <x v="1"/>
    <x v="144"/>
    <x v="3"/>
    <x v="2"/>
  </r>
  <r>
    <x v="650"/>
    <x v="8"/>
    <x v="13"/>
    <x v="113"/>
    <x v="4"/>
    <x v="2"/>
  </r>
  <r>
    <x v="651"/>
    <x v="5"/>
    <x v="1"/>
    <x v="141"/>
    <x v="3"/>
    <x v="2"/>
  </r>
  <r>
    <x v="652"/>
    <x v="2"/>
    <x v="6"/>
    <x v="100"/>
    <x v="3"/>
    <x v="2"/>
  </r>
  <r>
    <x v="653"/>
    <x v="7"/>
    <x v="17"/>
    <x v="151"/>
    <x v="3"/>
    <x v="2"/>
  </r>
  <r>
    <x v="654"/>
    <x v="9"/>
    <x v="26"/>
    <x v="273"/>
    <x v="3"/>
    <x v="2"/>
  </r>
  <r>
    <x v="655"/>
    <x v="7"/>
    <x v="6"/>
    <x v="51"/>
    <x v="3"/>
    <x v="2"/>
  </r>
  <r>
    <x v="656"/>
    <x v="4"/>
    <x v="24"/>
    <x v="191"/>
    <x v="3"/>
    <x v="2"/>
  </r>
  <r>
    <x v="657"/>
    <x v="10"/>
    <x v="11"/>
    <x v="252"/>
    <x v="3"/>
    <x v="2"/>
  </r>
  <r>
    <x v="658"/>
    <x v="2"/>
    <x v="28"/>
    <x v="73"/>
    <x v="3"/>
    <x v="2"/>
  </r>
  <r>
    <x v="659"/>
    <x v="8"/>
    <x v="20"/>
    <x v="274"/>
    <x v="3"/>
    <x v="2"/>
  </r>
  <r>
    <x v="660"/>
    <x v="4"/>
    <x v="11"/>
    <x v="140"/>
    <x v="3"/>
    <x v="2"/>
  </r>
  <r>
    <x v="661"/>
    <x v="6"/>
    <x v="27"/>
    <x v="148"/>
    <x v="3"/>
    <x v="2"/>
  </r>
  <r>
    <x v="662"/>
    <x v="7"/>
    <x v="3"/>
    <x v="134"/>
    <x v="3"/>
    <x v="2"/>
  </r>
  <r>
    <x v="663"/>
    <x v="12"/>
    <x v="19"/>
    <x v="217"/>
    <x v="3"/>
    <x v="2"/>
  </r>
  <r>
    <x v="664"/>
    <x v="8"/>
    <x v="23"/>
    <x v="173"/>
    <x v="3"/>
    <x v="2"/>
  </r>
  <r>
    <x v="665"/>
    <x v="4"/>
    <x v="25"/>
    <x v="62"/>
    <x v="3"/>
    <x v="2"/>
  </r>
  <r>
    <x v="666"/>
    <x v="5"/>
    <x v="26"/>
    <x v="59"/>
    <x v="3"/>
    <x v="2"/>
  </r>
  <r>
    <x v="667"/>
    <x v="9"/>
    <x v="9"/>
    <x v="275"/>
    <x v="4"/>
    <x v="2"/>
  </r>
  <r>
    <x v="668"/>
    <x v="0"/>
    <x v="4"/>
    <x v="213"/>
    <x v="3"/>
    <x v="2"/>
  </r>
  <r>
    <x v="669"/>
    <x v="4"/>
    <x v="29"/>
    <x v="102"/>
    <x v="3"/>
    <x v="2"/>
  </r>
  <r>
    <x v="670"/>
    <x v="9"/>
    <x v="26"/>
    <x v="273"/>
    <x v="4"/>
    <x v="2"/>
  </r>
  <r>
    <x v="671"/>
    <x v="8"/>
    <x v="18"/>
    <x v="49"/>
    <x v="4"/>
    <x v="2"/>
  </r>
  <r>
    <x v="672"/>
    <x v="5"/>
    <x v="10"/>
    <x v="276"/>
    <x v="4"/>
    <x v="2"/>
  </r>
  <r>
    <x v="673"/>
    <x v="6"/>
    <x v="13"/>
    <x v="53"/>
    <x v="4"/>
    <x v="2"/>
  </r>
  <r>
    <x v="674"/>
    <x v="8"/>
    <x v="23"/>
    <x v="173"/>
    <x v="4"/>
    <x v="2"/>
  </r>
  <r>
    <x v="675"/>
    <x v="0"/>
    <x v="6"/>
    <x v="6"/>
    <x v="4"/>
    <x v="2"/>
  </r>
  <r>
    <x v="676"/>
    <x v="0"/>
    <x v="29"/>
    <x v="175"/>
    <x v="4"/>
    <x v="2"/>
  </r>
  <r>
    <x v="677"/>
    <x v="9"/>
    <x v="19"/>
    <x v="224"/>
    <x v="4"/>
    <x v="2"/>
  </r>
  <r>
    <x v="678"/>
    <x v="8"/>
    <x v="24"/>
    <x v="199"/>
    <x v="4"/>
    <x v="2"/>
  </r>
  <r>
    <x v="679"/>
    <x v="6"/>
    <x v="21"/>
    <x v="131"/>
    <x v="6"/>
    <x v="3"/>
  </r>
  <r>
    <x v="680"/>
    <x v="3"/>
    <x v="24"/>
    <x v="277"/>
    <x v="7"/>
    <x v="3"/>
  </r>
  <r>
    <x v="681"/>
    <x v="2"/>
    <x v="19"/>
    <x v="278"/>
    <x v="8"/>
    <x v="3"/>
  </r>
  <r>
    <x v="682"/>
    <x v="8"/>
    <x v="2"/>
    <x v="279"/>
    <x v="7"/>
    <x v="3"/>
  </r>
  <r>
    <x v="683"/>
    <x v="10"/>
    <x v="4"/>
    <x v="256"/>
    <x v="8"/>
    <x v="3"/>
  </r>
  <r>
    <x v="684"/>
    <x v="2"/>
    <x v="21"/>
    <x v="179"/>
    <x v="7"/>
    <x v="3"/>
  </r>
  <r>
    <x v="685"/>
    <x v="12"/>
    <x v="3"/>
    <x v="65"/>
    <x v="7"/>
    <x v="3"/>
  </r>
  <r>
    <x v="686"/>
    <x v="0"/>
    <x v="22"/>
    <x v="36"/>
    <x v="6"/>
    <x v="3"/>
  </r>
  <r>
    <x v="687"/>
    <x v="9"/>
    <x v="23"/>
    <x v="69"/>
    <x v="7"/>
    <x v="3"/>
  </r>
  <r>
    <x v="688"/>
    <x v="8"/>
    <x v="30"/>
    <x v="124"/>
    <x v="6"/>
    <x v="3"/>
  </r>
  <r>
    <x v="689"/>
    <x v="1"/>
    <x v="27"/>
    <x v="115"/>
    <x v="6"/>
    <x v="3"/>
  </r>
  <r>
    <x v="690"/>
    <x v="11"/>
    <x v="18"/>
    <x v="193"/>
    <x v="6"/>
    <x v="3"/>
  </r>
  <r>
    <x v="691"/>
    <x v="4"/>
    <x v="5"/>
    <x v="280"/>
    <x v="6"/>
    <x v="3"/>
  </r>
  <r>
    <x v="692"/>
    <x v="5"/>
    <x v="19"/>
    <x v="80"/>
    <x v="8"/>
    <x v="3"/>
  </r>
  <r>
    <x v="693"/>
    <x v="4"/>
    <x v="25"/>
    <x v="62"/>
    <x v="8"/>
    <x v="3"/>
  </r>
  <r>
    <x v="694"/>
    <x v="10"/>
    <x v="1"/>
    <x v="110"/>
    <x v="8"/>
    <x v="3"/>
  </r>
  <r>
    <x v="695"/>
    <x v="5"/>
    <x v="0"/>
    <x v="261"/>
    <x v="8"/>
    <x v="3"/>
  </r>
  <r>
    <x v="696"/>
    <x v="8"/>
    <x v="3"/>
    <x v="38"/>
    <x v="6"/>
    <x v="3"/>
  </r>
  <r>
    <x v="697"/>
    <x v="0"/>
    <x v="14"/>
    <x v="39"/>
    <x v="6"/>
    <x v="3"/>
  </r>
  <r>
    <x v="698"/>
    <x v="8"/>
    <x v="0"/>
    <x v="281"/>
    <x v="7"/>
    <x v="3"/>
  </r>
  <r>
    <x v="699"/>
    <x v="5"/>
    <x v="0"/>
    <x v="261"/>
    <x v="8"/>
    <x v="3"/>
  </r>
  <r>
    <x v="700"/>
    <x v="10"/>
    <x v="15"/>
    <x v="21"/>
    <x v="8"/>
    <x v="3"/>
  </r>
  <r>
    <x v="701"/>
    <x v="7"/>
    <x v="23"/>
    <x v="282"/>
    <x v="6"/>
    <x v="3"/>
  </r>
  <r>
    <x v="702"/>
    <x v="6"/>
    <x v="27"/>
    <x v="148"/>
    <x v="6"/>
    <x v="3"/>
  </r>
  <r>
    <x v="703"/>
    <x v="9"/>
    <x v="25"/>
    <x v="154"/>
    <x v="7"/>
    <x v="3"/>
  </r>
  <r>
    <x v="704"/>
    <x v="6"/>
    <x v="3"/>
    <x v="25"/>
    <x v="8"/>
    <x v="3"/>
  </r>
  <r>
    <x v="705"/>
    <x v="2"/>
    <x v="18"/>
    <x v="283"/>
    <x v="7"/>
    <x v="3"/>
  </r>
  <r>
    <x v="706"/>
    <x v="9"/>
    <x v="4"/>
    <x v="143"/>
    <x v="7"/>
    <x v="3"/>
  </r>
  <r>
    <x v="707"/>
    <x v="0"/>
    <x v="4"/>
    <x v="213"/>
    <x v="6"/>
    <x v="3"/>
  </r>
  <r>
    <x v="708"/>
    <x v="7"/>
    <x v="1"/>
    <x v="171"/>
    <x v="8"/>
    <x v="3"/>
  </r>
  <r>
    <x v="709"/>
    <x v="6"/>
    <x v="19"/>
    <x v="166"/>
    <x v="8"/>
    <x v="3"/>
  </r>
  <r>
    <x v="710"/>
    <x v="10"/>
    <x v="1"/>
    <x v="110"/>
    <x v="8"/>
    <x v="3"/>
  </r>
  <r>
    <x v="711"/>
    <x v="2"/>
    <x v="24"/>
    <x v="52"/>
    <x v="8"/>
    <x v="3"/>
  </r>
  <r>
    <x v="712"/>
    <x v="2"/>
    <x v="5"/>
    <x v="5"/>
    <x v="8"/>
    <x v="3"/>
  </r>
  <r>
    <x v="713"/>
    <x v="3"/>
    <x v="23"/>
    <x v="260"/>
    <x v="6"/>
    <x v="3"/>
  </r>
  <r>
    <x v="714"/>
    <x v="5"/>
    <x v="26"/>
    <x v="59"/>
    <x v="6"/>
    <x v="3"/>
  </r>
  <r>
    <x v="715"/>
    <x v="2"/>
    <x v="28"/>
    <x v="73"/>
    <x v="6"/>
    <x v="3"/>
  </r>
  <r>
    <x v="716"/>
    <x v="7"/>
    <x v="15"/>
    <x v="189"/>
    <x v="7"/>
    <x v="3"/>
  </r>
  <r>
    <x v="717"/>
    <x v="9"/>
    <x v="10"/>
    <x v="284"/>
    <x v="8"/>
    <x v="3"/>
  </r>
  <r>
    <x v="718"/>
    <x v="0"/>
    <x v="20"/>
    <x v="114"/>
    <x v="6"/>
    <x v="3"/>
  </r>
  <r>
    <x v="719"/>
    <x v="0"/>
    <x v="7"/>
    <x v="11"/>
    <x v="6"/>
    <x v="3"/>
  </r>
  <r>
    <x v="720"/>
    <x v="4"/>
    <x v="11"/>
    <x v="140"/>
    <x v="6"/>
    <x v="3"/>
  </r>
  <r>
    <x v="721"/>
    <x v="12"/>
    <x v="23"/>
    <x v="285"/>
    <x v="8"/>
    <x v="3"/>
  </r>
  <r>
    <x v="722"/>
    <x v="0"/>
    <x v="26"/>
    <x v="67"/>
    <x v="7"/>
    <x v="3"/>
  </r>
  <r>
    <x v="723"/>
    <x v="2"/>
    <x v="26"/>
    <x v="238"/>
    <x v="7"/>
    <x v="3"/>
  </r>
  <r>
    <x v="724"/>
    <x v="2"/>
    <x v="30"/>
    <x v="105"/>
    <x v="8"/>
    <x v="3"/>
  </r>
  <r>
    <x v="725"/>
    <x v="6"/>
    <x v="20"/>
    <x v="183"/>
    <x v="6"/>
    <x v="3"/>
  </r>
  <r>
    <x v="726"/>
    <x v="6"/>
    <x v="1"/>
    <x v="12"/>
    <x v="8"/>
    <x v="3"/>
  </r>
  <r>
    <x v="727"/>
    <x v="6"/>
    <x v="29"/>
    <x v="127"/>
    <x v="7"/>
    <x v="3"/>
  </r>
  <r>
    <x v="728"/>
    <x v="2"/>
    <x v="23"/>
    <x v="40"/>
    <x v="6"/>
    <x v="3"/>
  </r>
  <r>
    <x v="729"/>
    <x v="6"/>
    <x v="6"/>
    <x v="214"/>
    <x v="7"/>
    <x v="3"/>
  </r>
  <r>
    <x v="730"/>
    <x v="5"/>
    <x v="13"/>
    <x v="286"/>
    <x v="6"/>
    <x v="3"/>
  </r>
  <r>
    <x v="731"/>
    <x v="0"/>
    <x v="26"/>
    <x v="67"/>
    <x v="8"/>
    <x v="3"/>
  </r>
  <r>
    <x v="732"/>
    <x v="12"/>
    <x v="27"/>
    <x v="287"/>
    <x v="6"/>
    <x v="3"/>
  </r>
  <r>
    <x v="733"/>
    <x v="2"/>
    <x v="27"/>
    <x v="62"/>
    <x v="7"/>
    <x v="3"/>
  </r>
  <r>
    <x v="734"/>
    <x v="1"/>
    <x v="19"/>
    <x v="30"/>
    <x v="8"/>
    <x v="3"/>
  </r>
  <r>
    <x v="735"/>
    <x v="8"/>
    <x v="2"/>
    <x v="279"/>
    <x v="7"/>
    <x v="3"/>
  </r>
  <r>
    <x v="736"/>
    <x v="7"/>
    <x v="30"/>
    <x v="89"/>
    <x v="6"/>
    <x v="3"/>
  </r>
  <r>
    <x v="737"/>
    <x v="2"/>
    <x v="30"/>
    <x v="105"/>
    <x v="7"/>
    <x v="3"/>
  </r>
  <r>
    <x v="738"/>
    <x v="6"/>
    <x v="2"/>
    <x v="247"/>
    <x v="8"/>
    <x v="3"/>
  </r>
  <r>
    <x v="739"/>
    <x v="0"/>
    <x v="13"/>
    <x v="77"/>
    <x v="7"/>
    <x v="3"/>
  </r>
  <r>
    <x v="740"/>
    <x v="7"/>
    <x v="26"/>
    <x v="125"/>
    <x v="8"/>
    <x v="3"/>
  </r>
  <r>
    <x v="741"/>
    <x v="3"/>
    <x v="6"/>
    <x v="288"/>
    <x v="8"/>
    <x v="3"/>
  </r>
  <r>
    <x v="742"/>
    <x v="6"/>
    <x v="17"/>
    <x v="289"/>
    <x v="6"/>
    <x v="3"/>
  </r>
  <r>
    <x v="743"/>
    <x v="0"/>
    <x v="5"/>
    <x v="108"/>
    <x v="6"/>
    <x v="3"/>
  </r>
  <r>
    <x v="744"/>
    <x v="0"/>
    <x v="23"/>
    <x v="58"/>
    <x v="8"/>
    <x v="3"/>
  </r>
  <r>
    <x v="745"/>
    <x v="2"/>
    <x v="6"/>
    <x v="100"/>
    <x v="7"/>
    <x v="3"/>
  </r>
  <r>
    <x v="746"/>
    <x v="0"/>
    <x v="1"/>
    <x v="91"/>
    <x v="6"/>
    <x v="3"/>
  </r>
  <r>
    <x v="747"/>
    <x v="6"/>
    <x v="12"/>
    <x v="84"/>
    <x v="8"/>
    <x v="3"/>
  </r>
  <r>
    <x v="748"/>
    <x v="11"/>
    <x v="16"/>
    <x v="290"/>
    <x v="8"/>
    <x v="3"/>
  </r>
  <r>
    <x v="749"/>
    <x v="1"/>
    <x v="5"/>
    <x v="82"/>
    <x v="8"/>
    <x v="3"/>
  </r>
  <r>
    <x v="750"/>
    <x v="1"/>
    <x v="19"/>
    <x v="30"/>
    <x v="7"/>
    <x v="3"/>
  </r>
  <r>
    <x v="751"/>
    <x v="8"/>
    <x v="23"/>
    <x v="173"/>
    <x v="7"/>
    <x v="3"/>
  </r>
  <r>
    <x v="752"/>
    <x v="11"/>
    <x v="2"/>
    <x v="291"/>
    <x v="8"/>
    <x v="3"/>
  </r>
  <r>
    <x v="753"/>
    <x v="6"/>
    <x v="12"/>
    <x v="84"/>
    <x v="8"/>
    <x v="3"/>
  </r>
  <r>
    <x v="754"/>
    <x v="9"/>
    <x v="0"/>
    <x v="292"/>
    <x v="8"/>
    <x v="3"/>
  </r>
  <r>
    <x v="755"/>
    <x v="8"/>
    <x v="16"/>
    <x v="88"/>
    <x v="6"/>
    <x v="3"/>
  </r>
  <r>
    <x v="756"/>
    <x v="8"/>
    <x v="12"/>
    <x v="7"/>
    <x v="8"/>
    <x v="3"/>
  </r>
  <r>
    <x v="757"/>
    <x v="11"/>
    <x v="27"/>
    <x v="146"/>
    <x v="8"/>
    <x v="3"/>
  </r>
  <r>
    <x v="758"/>
    <x v="9"/>
    <x v="13"/>
    <x v="242"/>
    <x v="6"/>
    <x v="3"/>
  </r>
  <r>
    <x v="759"/>
    <x v="2"/>
    <x v="0"/>
    <x v="184"/>
    <x v="7"/>
    <x v="3"/>
  </r>
  <r>
    <x v="760"/>
    <x v="0"/>
    <x v="3"/>
    <x v="152"/>
    <x v="6"/>
    <x v="3"/>
  </r>
  <r>
    <x v="761"/>
    <x v="7"/>
    <x v="14"/>
    <x v="20"/>
    <x v="6"/>
    <x v="3"/>
  </r>
  <r>
    <x v="762"/>
    <x v="8"/>
    <x v="29"/>
    <x v="14"/>
    <x v="8"/>
    <x v="3"/>
  </r>
  <r>
    <x v="763"/>
    <x v="10"/>
    <x v="29"/>
    <x v="293"/>
    <x v="6"/>
    <x v="3"/>
  </r>
  <r>
    <x v="764"/>
    <x v="6"/>
    <x v="21"/>
    <x v="131"/>
    <x v="8"/>
    <x v="3"/>
  </r>
  <r>
    <x v="765"/>
    <x v="1"/>
    <x v="14"/>
    <x v="223"/>
    <x v="8"/>
    <x v="3"/>
  </r>
  <r>
    <x v="766"/>
    <x v="5"/>
    <x v="5"/>
    <x v="294"/>
    <x v="6"/>
    <x v="3"/>
  </r>
  <r>
    <x v="767"/>
    <x v="6"/>
    <x v="30"/>
    <x v="163"/>
    <x v="8"/>
    <x v="3"/>
  </r>
  <r>
    <x v="768"/>
    <x v="7"/>
    <x v="17"/>
    <x v="151"/>
    <x v="8"/>
    <x v="3"/>
  </r>
  <r>
    <x v="769"/>
    <x v="6"/>
    <x v="30"/>
    <x v="163"/>
    <x v="8"/>
    <x v="3"/>
  </r>
  <r>
    <x v="770"/>
    <x v="6"/>
    <x v="28"/>
    <x v="227"/>
    <x v="7"/>
    <x v="3"/>
  </r>
  <r>
    <x v="771"/>
    <x v="1"/>
    <x v="0"/>
    <x v="165"/>
    <x v="8"/>
    <x v="3"/>
  </r>
  <r>
    <x v="772"/>
    <x v="0"/>
    <x v="12"/>
    <x v="128"/>
    <x v="8"/>
    <x v="3"/>
  </r>
  <r>
    <x v="773"/>
    <x v="4"/>
    <x v="23"/>
    <x v="216"/>
    <x v="7"/>
    <x v="3"/>
  </r>
  <r>
    <x v="774"/>
    <x v="3"/>
    <x v="26"/>
    <x v="90"/>
    <x v="8"/>
    <x v="3"/>
  </r>
  <r>
    <x v="775"/>
    <x v="1"/>
    <x v="17"/>
    <x v="233"/>
    <x v="7"/>
    <x v="3"/>
  </r>
  <r>
    <x v="776"/>
    <x v="11"/>
    <x v="9"/>
    <x v="66"/>
    <x v="6"/>
    <x v="3"/>
  </r>
  <r>
    <x v="777"/>
    <x v="1"/>
    <x v="29"/>
    <x v="190"/>
    <x v="8"/>
    <x v="3"/>
  </r>
  <r>
    <x v="778"/>
    <x v="6"/>
    <x v="17"/>
    <x v="289"/>
    <x v="7"/>
    <x v="3"/>
  </r>
  <r>
    <x v="779"/>
    <x v="1"/>
    <x v="23"/>
    <x v="196"/>
    <x v="7"/>
    <x v="3"/>
  </r>
  <r>
    <x v="780"/>
    <x v="0"/>
    <x v="18"/>
    <x v="220"/>
    <x v="7"/>
    <x v="3"/>
  </r>
  <r>
    <x v="781"/>
    <x v="0"/>
    <x v="23"/>
    <x v="58"/>
    <x v="7"/>
    <x v="3"/>
  </r>
  <r>
    <x v="782"/>
    <x v="8"/>
    <x v="14"/>
    <x v="295"/>
    <x v="8"/>
    <x v="3"/>
  </r>
  <r>
    <x v="783"/>
    <x v="0"/>
    <x v="24"/>
    <x v="157"/>
    <x v="7"/>
    <x v="3"/>
  </r>
  <r>
    <x v="784"/>
    <x v="4"/>
    <x v="15"/>
    <x v="76"/>
    <x v="6"/>
    <x v="3"/>
  </r>
  <r>
    <x v="785"/>
    <x v="5"/>
    <x v="23"/>
    <x v="187"/>
    <x v="8"/>
    <x v="3"/>
  </r>
  <r>
    <x v="786"/>
    <x v="0"/>
    <x v="8"/>
    <x v="103"/>
    <x v="6"/>
    <x v="3"/>
  </r>
  <r>
    <x v="787"/>
    <x v="10"/>
    <x v="6"/>
    <x v="47"/>
    <x v="7"/>
    <x v="3"/>
  </r>
  <r>
    <x v="788"/>
    <x v="0"/>
    <x v="28"/>
    <x v="296"/>
    <x v="8"/>
    <x v="3"/>
  </r>
  <r>
    <x v="789"/>
    <x v="8"/>
    <x v="6"/>
    <x v="97"/>
    <x v="7"/>
    <x v="3"/>
  </r>
  <r>
    <x v="790"/>
    <x v="6"/>
    <x v="26"/>
    <x v="81"/>
    <x v="7"/>
    <x v="3"/>
  </r>
  <r>
    <x v="791"/>
    <x v="5"/>
    <x v="16"/>
    <x v="46"/>
    <x v="6"/>
    <x v="3"/>
  </r>
  <r>
    <x v="792"/>
    <x v="4"/>
    <x v="9"/>
    <x v="297"/>
    <x v="7"/>
    <x v="3"/>
  </r>
  <r>
    <x v="793"/>
    <x v="2"/>
    <x v="17"/>
    <x v="45"/>
    <x v="7"/>
    <x v="3"/>
  </r>
  <r>
    <x v="794"/>
    <x v="1"/>
    <x v="3"/>
    <x v="3"/>
    <x v="7"/>
    <x v="3"/>
  </r>
  <r>
    <x v="795"/>
    <x v="1"/>
    <x v="8"/>
    <x v="298"/>
    <x v="8"/>
    <x v="3"/>
  </r>
  <r>
    <x v="796"/>
    <x v="3"/>
    <x v="2"/>
    <x v="180"/>
    <x v="6"/>
    <x v="3"/>
  </r>
  <r>
    <x v="797"/>
    <x v="0"/>
    <x v="10"/>
    <x v="176"/>
    <x v="6"/>
    <x v="3"/>
  </r>
  <r>
    <x v="798"/>
    <x v="4"/>
    <x v="7"/>
    <x v="7"/>
    <x v="7"/>
    <x v="3"/>
  </r>
  <r>
    <x v="799"/>
    <x v="0"/>
    <x v="11"/>
    <x v="215"/>
    <x v="8"/>
    <x v="3"/>
  </r>
  <r>
    <x v="800"/>
    <x v="2"/>
    <x v="19"/>
    <x v="278"/>
    <x v="7"/>
    <x v="3"/>
  </r>
  <r>
    <x v="801"/>
    <x v="1"/>
    <x v="9"/>
    <x v="35"/>
    <x v="6"/>
    <x v="3"/>
  </r>
  <r>
    <x v="802"/>
    <x v="7"/>
    <x v="3"/>
    <x v="134"/>
    <x v="7"/>
    <x v="3"/>
  </r>
  <r>
    <x v="803"/>
    <x v="7"/>
    <x v="6"/>
    <x v="51"/>
    <x v="6"/>
    <x v="3"/>
  </r>
  <r>
    <x v="804"/>
    <x v="7"/>
    <x v="19"/>
    <x v="299"/>
    <x v="8"/>
    <x v="3"/>
  </r>
  <r>
    <x v="805"/>
    <x v="3"/>
    <x v="6"/>
    <x v="288"/>
    <x v="7"/>
    <x v="3"/>
  </r>
  <r>
    <x v="806"/>
    <x v="2"/>
    <x v="13"/>
    <x v="126"/>
    <x v="7"/>
    <x v="3"/>
  </r>
  <r>
    <x v="807"/>
    <x v="3"/>
    <x v="2"/>
    <x v="180"/>
    <x v="6"/>
    <x v="3"/>
  </r>
  <r>
    <x v="808"/>
    <x v="1"/>
    <x v="3"/>
    <x v="3"/>
    <x v="7"/>
    <x v="3"/>
  </r>
  <r>
    <x v="809"/>
    <x v="0"/>
    <x v="21"/>
    <x v="121"/>
    <x v="7"/>
    <x v="3"/>
  </r>
  <r>
    <x v="810"/>
    <x v="6"/>
    <x v="6"/>
    <x v="214"/>
    <x v="8"/>
    <x v="3"/>
  </r>
  <r>
    <x v="811"/>
    <x v="0"/>
    <x v="27"/>
    <x v="150"/>
    <x v="7"/>
    <x v="3"/>
  </r>
  <r>
    <x v="812"/>
    <x v="0"/>
    <x v="6"/>
    <x v="6"/>
    <x v="6"/>
    <x v="3"/>
  </r>
  <r>
    <x v="813"/>
    <x v="6"/>
    <x v="28"/>
    <x v="227"/>
    <x v="8"/>
    <x v="3"/>
  </r>
  <r>
    <x v="814"/>
    <x v="0"/>
    <x v="19"/>
    <x v="95"/>
    <x v="8"/>
    <x v="3"/>
  </r>
  <r>
    <x v="815"/>
    <x v="0"/>
    <x v="26"/>
    <x v="67"/>
    <x v="7"/>
    <x v="3"/>
  </r>
  <r>
    <x v="816"/>
    <x v="4"/>
    <x v="4"/>
    <x v="99"/>
    <x v="6"/>
    <x v="3"/>
  </r>
  <r>
    <x v="817"/>
    <x v="0"/>
    <x v="30"/>
    <x v="132"/>
    <x v="8"/>
    <x v="3"/>
  </r>
  <r>
    <x v="818"/>
    <x v="1"/>
    <x v="7"/>
    <x v="54"/>
    <x v="7"/>
    <x v="3"/>
  </r>
  <r>
    <x v="819"/>
    <x v="2"/>
    <x v="12"/>
    <x v="18"/>
    <x v="6"/>
    <x v="3"/>
  </r>
  <r>
    <x v="820"/>
    <x v="7"/>
    <x v="12"/>
    <x v="300"/>
    <x v="8"/>
    <x v="3"/>
  </r>
  <r>
    <x v="821"/>
    <x v="0"/>
    <x v="9"/>
    <x v="10"/>
    <x v="7"/>
    <x v="3"/>
  </r>
  <r>
    <x v="822"/>
    <x v="1"/>
    <x v="12"/>
    <x v="208"/>
    <x v="8"/>
    <x v="3"/>
  </r>
  <r>
    <x v="823"/>
    <x v="0"/>
    <x v="11"/>
    <x v="215"/>
    <x v="8"/>
    <x v="3"/>
  </r>
  <r>
    <x v="824"/>
    <x v="5"/>
    <x v="12"/>
    <x v="102"/>
    <x v="8"/>
    <x v="3"/>
  </r>
  <r>
    <x v="825"/>
    <x v="6"/>
    <x v="1"/>
    <x v="12"/>
    <x v="8"/>
    <x v="3"/>
  </r>
  <r>
    <x v="826"/>
    <x v="1"/>
    <x v="20"/>
    <x v="257"/>
    <x v="6"/>
    <x v="3"/>
  </r>
  <r>
    <x v="827"/>
    <x v="2"/>
    <x v="14"/>
    <x v="26"/>
    <x v="6"/>
    <x v="3"/>
  </r>
  <r>
    <x v="828"/>
    <x v="1"/>
    <x v="12"/>
    <x v="208"/>
    <x v="8"/>
    <x v="3"/>
  </r>
  <r>
    <x v="829"/>
    <x v="2"/>
    <x v="8"/>
    <x v="155"/>
    <x v="7"/>
    <x v="3"/>
  </r>
  <r>
    <x v="830"/>
    <x v="1"/>
    <x v="17"/>
    <x v="233"/>
    <x v="6"/>
    <x v="3"/>
  </r>
  <r>
    <x v="831"/>
    <x v="10"/>
    <x v="3"/>
    <x v="79"/>
    <x v="7"/>
    <x v="3"/>
  </r>
  <r>
    <x v="832"/>
    <x v="5"/>
    <x v="19"/>
    <x v="80"/>
    <x v="7"/>
    <x v="3"/>
  </r>
  <r>
    <x v="833"/>
    <x v="8"/>
    <x v="23"/>
    <x v="173"/>
    <x v="7"/>
    <x v="3"/>
  </r>
  <r>
    <x v="834"/>
    <x v="5"/>
    <x v="25"/>
    <x v="231"/>
    <x v="6"/>
    <x v="3"/>
  </r>
  <r>
    <x v="835"/>
    <x v="7"/>
    <x v="3"/>
    <x v="134"/>
    <x v="8"/>
    <x v="3"/>
  </r>
  <r>
    <x v="836"/>
    <x v="2"/>
    <x v="1"/>
    <x v="222"/>
    <x v="7"/>
    <x v="3"/>
  </r>
  <r>
    <x v="837"/>
    <x v="8"/>
    <x v="14"/>
    <x v="295"/>
    <x v="7"/>
    <x v="3"/>
  </r>
  <r>
    <x v="838"/>
    <x v="9"/>
    <x v="3"/>
    <x v="301"/>
    <x v="7"/>
    <x v="3"/>
  </r>
  <r>
    <x v="839"/>
    <x v="7"/>
    <x v="0"/>
    <x v="57"/>
    <x v="6"/>
    <x v="3"/>
  </r>
  <r>
    <x v="840"/>
    <x v="0"/>
    <x v="7"/>
    <x v="11"/>
    <x v="8"/>
    <x v="3"/>
  </r>
  <r>
    <x v="841"/>
    <x v="4"/>
    <x v="14"/>
    <x v="302"/>
    <x v="7"/>
    <x v="3"/>
  </r>
  <r>
    <x v="842"/>
    <x v="5"/>
    <x v="14"/>
    <x v="185"/>
    <x v="7"/>
    <x v="3"/>
  </r>
  <r>
    <x v="843"/>
    <x v="2"/>
    <x v="12"/>
    <x v="18"/>
    <x v="7"/>
    <x v="3"/>
  </r>
  <r>
    <x v="844"/>
    <x v="4"/>
    <x v="26"/>
    <x v="45"/>
    <x v="6"/>
    <x v="3"/>
  </r>
  <r>
    <x v="845"/>
    <x v="0"/>
    <x v="10"/>
    <x v="176"/>
    <x v="8"/>
    <x v="3"/>
  </r>
  <r>
    <x v="846"/>
    <x v="7"/>
    <x v="9"/>
    <x v="303"/>
    <x v="7"/>
    <x v="3"/>
  </r>
  <r>
    <x v="847"/>
    <x v="10"/>
    <x v="29"/>
    <x v="293"/>
    <x v="7"/>
    <x v="3"/>
  </r>
  <r>
    <x v="848"/>
    <x v="1"/>
    <x v="8"/>
    <x v="298"/>
    <x v="7"/>
    <x v="3"/>
  </r>
  <r>
    <x v="849"/>
    <x v="2"/>
    <x v="17"/>
    <x v="45"/>
    <x v="6"/>
    <x v="3"/>
  </r>
  <r>
    <x v="850"/>
    <x v="6"/>
    <x v="21"/>
    <x v="131"/>
    <x v="8"/>
    <x v="3"/>
  </r>
  <r>
    <x v="851"/>
    <x v="5"/>
    <x v="9"/>
    <x v="16"/>
    <x v="7"/>
    <x v="3"/>
  </r>
  <r>
    <x v="852"/>
    <x v="7"/>
    <x v="3"/>
    <x v="134"/>
    <x v="8"/>
    <x v="3"/>
  </r>
  <r>
    <x v="853"/>
    <x v="4"/>
    <x v="27"/>
    <x v="84"/>
    <x v="7"/>
    <x v="3"/>
  </r>
  <r>
    <x v="854"/>
    <x v="0"/>
    <x v="25"/>
    <x v="158"/>
    <x v="8"/>
    <x v="3"/>
  </r>
  <r>
    <x v="855"/>
    <x v="3"/>
    <x v="15"/>
    <x v="138"/>
    <x v="8"/>
    <x v="3"/>
  </r>
  <r>
    <x v="856"/>
    <x v="11"/>
    <x v="13"/>
    <x v="48"/>
    <x v="8"/>
    <x v="3"/>
  </r>
  <r>
    <x v="857"/>
    <x v="4"/>
    <x v="25"/>
    <x v="62"/>
    <x v="8"/>
    <x v="3"/>
  </r>
  <r>
    <x v="858"/>
    <x v="7"/>
    <x v="16"/>
    <x v="207"/>
    <x v="8"/>
    <x v="3"/>
  </r>
  <r>
    <x v="859"/>
    <x v="4"/>
    <x v="21"/>
    <x v="148"/>
    <x v="8"/>
    <x v="3"/>
  </r>
  <r>
    <x v="860"/>
    <x v="8"/>
    <x v="26"/>
    <x v="68"/>
    <x v="8"/>
    <x v="3"/>
  </r>
  <r>
    <x v="861"/>
    <x v="11"/>
    <x v="17"/>
    <x v="236"/>
    <x v="8"/>
    <x v="3"/>
  </r>
  <r>
    <x v="862"/>
    <x v="9"/>
    <x v="21"/>
    <x v="304"/>
    <x v="8"/>
    <x v="3"/>
  </r>
  <r>
    <x v="863"/>
    <x v="4"/>
    <x v="24"/>
    <x v="191"/>
    <x v="8"/>
    <x v="3"/>
  </r>
  <r>
    <x v="864"/>
    <x v="4"/>
    <x v="13"/>
    <x v="112"/>
    <x v="7"/>
    <x v="3"/>
  </r>
  <r>
    <x v="865"/>
    <x v="6"/>
    <x v="11"/>
    <x v="203"/>
    <x v="6"/>
    <x v="3"/>
  </r>
  <r>
    <x v="866"/>
    <x v="2"/>
    <x v="10"/>
    <x v="194"/>
    <x v="7"/>
    <x v="3"/>
  </r>
  <r>
    <x v="867"/>
    <x v="5"/>
    <x v="12"/>
    <x v="102"/>
    <x v="6"/>
    <x v="3"/>
  </r>
  <r>
    <x v="868"/>
    <x v="1"/>
    <x v="17"/>
    <x v="233"/>
    <x v="7"/>
    <x v="3"/>
  </r>
  <r>
    <x v="869"/>
    <x v="6"/>
    <x v="2"/>
    <x v="247"/>
    <x v="6"/>
    <x v="3"/>
  </r>
  <r>
    <x v="870"/>
    <x v="3"/>
    <x v="19"/>
    <x v="305"/>
    <x v="7"/>
    <x v="3"/>
  </r>
  <r>
    <x v="871"/>
    <x v="11"/>
    <x v="1"/>
    <x v="144"/>
    <x v="6"/>
    <x v="3"/>
  </r>
  <r>
    <x v="872"/>
    <x v="5"/>
    <x v="24"/>
    <x v="43"/>
    <x v="7"/>
    <x v="3"/>
  </r>
  <r>
    <x v="873"/>
    <x v="12"/>
    <x v="1"/>
    <x v="306"/>
    <x v="6"/>
    <x v="3"/>
  </r>
  <r>
    <x v="874"/>
    <x v="10"/>
    <x v="6"/>
    <x v="47"/>
    <x v="7"/>
    <x v="3"/>
  </r>
  <r>
    <x v="875"/>
    <x v="7"/>
    <x v="11"/>
    <x v="271"/>
    <x v="8"/>
    <x v="3"/>
  </r>
  <r>
    <x v="876"/>
    <x v="0"/>
    <x v="26"/>
    <x v="67"/>
    <x v="7"/>
    <x v="3"/>
  </r>
  <r>
    <x v="877"/>
    <x v="5"/>
    <x v="15"/>
    <x v="206"/>
    <x v="8"/>
    <x v="3"/>
  </r>
  <r>
    <x v="878"/>
    <x v="4"/>
    <x v="6"/>
    <x v="307"/>
    <x v="7"/>
    <x v="3"/>
  </r>
  <r>
    <x v="879"/>
    <x v="8"/>
    <x v="15"/>
    <x v="117"/>
    <x v="8"/>
    <x v="3"/>
  </r>
  <r>
    <x v="880"/>
    <x v="2"/>
    <x v="26"/>
    <x v="238"/>
    <x v="7"/>
    <x v="3"/>
  </r>
  <r>
    <x v="881"/>
    <x v="9"/>
    <x v="25"/>
    <x v="154"/>
    <x v="8"/>
    <x v="3"/>
  </r>
  <r>
    <x v="882"/>
    <x v="1"/>
    <x v="22"/>
    <x v="162"/>
    <x v="7"/>
    <x v="3"/>
  </r>
  <r>
    <x v="883"/>
    <x v="0"/>
    <x v="20"/>
    <x v="114"/>
    <x v="8"/>
    <x v="3"/>
  </r>
  <r>
    <x v="884"/>
    <x v="10"/>
    <x v="23"/>
    <x v="272"/>
    <x v="7"/>
    <x v="3"/>
  </r>
  <r>
    <x v="885"/>
    <x v="6"/>
    <x v="10"/>
    <x v="37"/>
    <x v="6"/>
    <x v="3"/>
  </r>
  <r>
    <x v="886"/>
    <x v="9"/>
    <x v="3"/>
    <x v="301"/>
    <x v="6"/>
    <x v="3"/>
  </r>
  <r>
    <x v="887"/>
    <x v="0"/>
    <x v="17"/>
    <x v="74"/>
    <x v="6"/>
    <x v="3"/>
  </r>
  <r>
    <x v="888"/>
    <x v="10"/>
    <x v="12"/>
    <x v="308"/>
    <x v="6"/>
    <x v="3"/>
  </r>
  <r>
    <x v="889"/>
    <x v="10"/>
    <x v="30"/>
    <x v="270"/>
    <x v="6"/>
    <x v="3"/>
  </r>
  <r>
    <x v="890"/>
    <x v="0"/>
    <x v="23"/>
    <x v="58"/>
    <x v="8"/>
    <x v="3"/>
  </r>
  <r>
    <x v="891"/>
    <x v="5"/>
    <x v="23"/>
    <x v="187"/>
    <x v="7"/>
    <x v="3"/>
  </r>
  <r>
    <x v="892"/>
    <x v="11"/>
    <x v="2"/>
    <x v="291"/>
    <x v="6"/>
    <x v="3"/>
  </r>
  <r>
    <x v="893"/>
    <x v="11"/>
    <x v="19"/>
    <x v="264"/>
    <x v="8"/>
    <x v="3"/>
  </r>
  <r>
    <x v="894"/>
    <x v="4"/>
    <x v="26"/>
    <x v="45"/>
    <x v="7"/>
    <x v="3"/>
  </r>
  <r>
    <x v="895"/>
    <x v="8"/>
    <x v="4"/>
    <x v="130"/>
    <x v="6"/>
    <x v="3"/>
  </r>
  <r>
    <x v="896"/>
    <x v="4"/>
    <x v="15"/>
    <x v="76"/>
    <x v="8"/>
    <x v="3"/>
  </r>
  <r>
    <x v="897"/>
    <x v="0"/>
    <x v="17"/>
    <x v="74"/>
    <x v="7"/>
    <x v="3"/>
  </r>
  <r>
    <x v="898"/>
    <x v="2"/>
    <x v="7"/>
    <x v="123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68DD6-C1D5-4950-A5CF-890CDDC5C8C5}" name="Сводная таблица2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178:J183" firstHeaderRow="1" firstDataRow="2" firstDataCol="1"/>
  <pivotFields count="9">
    <pivotField numFmtId="22" showAll="0">
      <items count="900">
        <item x="0"/>
        <item x="223"/>
        <item x="679"/>
        <item x="680"/>
        <item x="681"/>
        <item x="1"/>
        <item x="2"/>
        <item x="224"/>
        <item x="3"/>
        <item x="225"/>
        <item x="682"/>
        <item x="4"/>
        <item x="454"/>
        <item x="226"/>
        <item x="5"/>
        <item x="227"/>
        <item x="228"/>
        <item x="455"/>
        <item x="456"/>
        <item x="457"/>
        <item x="6"/>
        <item x="683"/>
        <item x="229"/>
        <item x="458"/>
        <item x="7"/>
        <item x="684"/>
        <item x="459"/>
        <item x="8"/>
        <item x="230"/>
        <item x="460"/>
        <item x="461"/>
        <item x="231"/>
        <item x="685"/>
        <item x="462"/>
        <item x="463"/>
        <item x="464"/>
        <item x="232"/>
        <item x="233"/>
        <item x="9"/>
        <item x="465"/>
        <item x="466"/>
        <item x="686"/>
        <item x="10"/>
        <item x="11"/>
        <item x="12"/>
        <item x="234"/>
        <item x="13"/>
        <item x="467"/>
        <item x="468"/>
        <item x="235"/>
        <item x="687"/>
        <item x="236"/>
        <item x="14"/>
        <item x="688"/>
        <item x="689"/>
        <item x="237"/>
        <item x="238"/>
        <item x="469"/>
        <item x="470"/>
        <item x="471"/>
        <item x="239"/>
        <item x="240"/>
        <item x="15"/>
        <item x="690"/>
        <item x="691"/>
        <item x="472"/>
        <item x="473"/>
        <item x="241"/>
        <item x="692"/>
        <item x="16"/>
        <item x="693"/>
        <item x="17"/>
        <item x="242"/>
        <item x="18"/>
        <item x="243"/>
        <item x="474"/>
        <item x="19"/>
        <item x="694"/>
        <item x="475"/>
        <item x="476"/>
        <item x="477"/>
        <item x="20"/>
        <item x="244"/>
        <item x="245"/>
        <item x="21"/>
        <item x="22"/>
        <item x="478"/>
        <item x="695"/>
        <item x="23"/>
        <item x="479"/>
        <item x="480"/>
        <item x="246"/>
        <item x="696"/>
        <item x="481"/>
        <item x="697"/>
        <item x="482"/>
        <item x="24"/>
        <item x="483"/>
        <item x="698"/>
        <item x="484"/>
        <item x="25"/>
        <item x="26"/>
        <item x="699"/>
        <item x="700"/>
        <item x="485"/>
        <item x="27"/>
        <item x="701"/>
        <item x="247"/>
        <item x="28"/>
        <item x="702"/>
        <item x="248"/>
        <item x="29"/>
        <item x="486"/>
        <item x="249"/>
        <item x="250"/>
        <item x="703"/>
        <item x="30"/>
        <item x="31"/>
        <item x="251"/>
        <item x="487"/>
        <item x="252"/>
        <item x="253"/>
        <item x="32"/>
        <item x="33"/>
        <item x="488"/>
        <item x="704"/>
        <item x="705"/>
        <item x="489"/>
        <item x="34"/>
        <item x="490"/>
        <item x="706"/>
        <item x="491"/>
        <item x="707"/>
        <item x="35"/>
        <item x="36"/>
        <item x="708"/>
        <item x="492"/>
        <item x="254"/>
        <item x="255"/>
        <item x="709"/>
        <item x="37"/>
        <item x="710"/>
        <item x="711"/>
        <item x="256"/>
        <item x="257"/>
        <item x="38"/>
        <item x="493"/>
        <item x="494"/>
        <item x="258"/>
        <item x="259"/>
        <item x="260"/>
        <item x="261"/>
        <item x="712"/>
        <item x="262"/>
        <item x="713"/>
        <item x="495"/>
        <item x="39"/>
        <item x="263"/>
        <item x="40"/>
        <item x="496"/>
        <item x="497"/>
        <item x="714"/>
        <item x="41"/>
        <item x="264"/>
        <item x="715"/>
        <item x="42"/>
        <item x="43"/>
        <item x="265"/>
        <item x="44"/>
        <item x="266"/>
        <item x="267"/>
        <item x="268"/>
        <item x="498"/>
        <item x="716"/>
        <item x="717"/>
        <item x="499"/>
        <item x="500"/>
        <item x="718"/>
        <item x="719"/>
        <item x="45"/>
        <item x="720"/>
        <item x="501"/>
        <item x="46"/>
        <item x="502"/>
        <item x="47"/>
        <item x="721"/>
        <item x="503"/>
        <item x="722"/>
        <item x="723"/>
        <item x="504"/>
        <item x="48"/>
        <item x="269"/>
        <item x="270"/>
        <item x="724"/>
        <item x="725"/>
        <item x="505"/>
        <item x="506"/>
        <item x="49"/>
        <item x="50"/>
        <item x="51"/>
        <item x="507"/>
        <item x="726"/>
        <item x="52"/>
        <item x="271"/>
        <item x="272"/>
        <item x="53"/>
        <item x="54"/>
        <item x="727"/>
        <item x="55"/>
        <item x="728"/>
        <item x="729"/>
        <item x="56"/>
        <item x="508"/>
        <item x="57"/>
        <item x="58"/>
        <item x="730"/>
        <item x="731"/>
        <item x="509"/>
        <item x="273"/>
        <item x="274"/>
        <item x="59"/>
        <item x="732"/>
        <item x="275"/>
        <item x="510"/>
        <item x="511"/>
        <item x="60"/>
        <item x="512"/>
        <item x="276"/>
        <item x="277"/>
        <item x="61"/>
        <item x="513"/>
        <item x="278"/>
        <item x="62"/>
        <item x="279"/>
        <item x="514"/>
        <item x="280"/>
        <item x="733"/>
        <item x="63"/>
        <item x="515"/>
        <item x="64"/>
        <item x="734"/>
        <item x="65"/>
        <item x="66"/>
        <item x="735"/>
        <item x="736"/>
        <item x="67"/>
        <item x="281"/>
        <item x="737"/>
        <item x="68"/>
        <item x="516"/>
        <item x="517"/>
        <item x="518"/>
        <item x="519"/>
        <item x="282"/>
        <item x="738"/>
        <item x="283"/>
        <item x="284"/>
        <item x="520"/>
        <item x="69"/>
        <item x="285"/>
        <item x="521"/>
        <item x="286"/>
        <item x="739"/>
        <item x="522"/>
        <item x="287"/>
        <item x="523"/>
        <item x="70"/>
        <item x="71"/>
        <item x="740"/>
        <item x="288"/>
        <item x="289"/>
        <item x="290"/>
        <item x="524"/>
        <item x="525"/>
        <item x="526"/>
        <item x="291"/>
        <item x="292"/>
        <item x="527"/>
        <item x="293"/>
        <item x="741"/>
        <item x="528"/>
        <item x="529"/>
        <item x="742"/>
        <item x="72"/>
        <item x="743"/>
        <item x="530"/>
        <item x="744"/>
        <item x="294"/>
        <item x="745"/>
        <item x="295"/>
        <item x="531"/>
        <item x="73"/>
        <item x="74"/>
        <item x="532"/>
        <item x="296"/>
        <item x="746"/>
        <item x="533"/>
        <item x="75"/>
        <item x="76"/>
        <item x="77"/>
        <item x="78"/>
        <item x="297"/>
        <item x="747"/>
        <item x="748"/>
        <item x="79"/>
        <item x="298"/>
        <item x="299"/>
        <item x="300"/>
        <item x="749"/>
        <item x="301"/>
        <item x="534"/>
        <item x="750"/>
        <item x="80"/>
        <item x="535"/>
        <item x="81"/>
        <item x="751"/>
        <item x="302"/>
        <item x="752"/>
        <item x="536"/>
        <item x="303"/>
        <item x="537"/>
        <item x="82"/>
        <item x="83"/>
        <item x="304"/>
        <item x="305"/>
        <item x="84"/>
        <item x="753"/>
        <item x="538"/>
        <item x="306"/>
        <item x="539"/>
        <item x="85"/>
        <item x="754"/>
        <item x="86"/>
        <item x="755"/>
        <item x="307"/>
        <item x="308"/>
        <item x="540"/>
        <item x="756"/>
        <item x="309"/>
        <item x="310"/>
        <item x="87"/>
        <item x="541"/>
        <item x="757"/>
        <item x="542"/>
        <item x="543"/>
        <item x="88"/>
        <item x="89"/>
        <item x="544"/>
        <item x="90"/>
        <item x="758"/>
        <item x="311"/>
        <item x="312"/>
        <item x="759"/>
        <item x="760"/>
        <item x="313"/>
        <item x="91"/>
        <item x="545"/>
        <item x="92"/>
        <item x="546"/>
        <item x="761"/>
        <item x="762"/>
        <item x="547"/>
        <item x="93"/>
        <item x="94"/>
        <item x="95"/>
        <item x="314"/>
        <item x="763"/>
        <item x="315"/>
        <item x="96"/>
        <item x="316"/>
        <item x="317"/>
        <item x="97"/>
        <item x="764"/>
        <item x="318"/>
        <item x="765"/>
        <item x="548"/>
        <item x="766"/>
        <item x="98"/>
        <item x="767"/>
        <item x="768"/>
        <item x="769"/>
        <item x="319"/>
        <item x="99"/>
        <item x="320"/>
        <item x="100"/>
        <item x="101"/>
        <item x="321"/>
        <item x="549"/>
        <item x="550"/>
        <item x="551"/>
        <item x="102"/>
        <item x="322"/>
        <item x="323"/>
        <item x="103"/>
        <item x="324"/>
        <item x="770"/>
        <item x="552"/>
        <item x="771"/>
        <item x="104"/>
        <item x="772"/>
        <item x="553"/>
        <item x="773"/>
        <item x="325"/>
        <item x="554"/>
        <item x="326"/>
        <item x="555"/>
        <item x="105"/>
        <item x="106"/>
        <item x="107"/>
        <item x="108"/>
        <item x="327"/>
        <item x="328"/>
        <item x="556"/>
        <item x="329"/>
        <item x="774"/>
        <item x="775"/>
        <item x="109"/>
        <item x="776"/>
        <item x="110"/>
        <item x="557"/>
        <item x="111"/>
        <item x="330"/>
        <item x="558"/>
        <item x="559"/>
        <item x="331"/>
        <item x="332"/>
        <item x="560"/>
        <item x="777"/>
        <item x="112"/>
        <item x="561"/>
        <item x="333"/>
        <item x="334"/>
        <item x="113"/>
        <item x="562"/>
        <item x="563"/>
        <item x="335"/>
        <item x="114"/>
        <item x="778"/>
        <item x="115"/>
        <item x="336"/>
        <item x="779"/>
        <item x="564"/>
        <item x="780"/>
        <item x="781"/>
        <item x="337"/>
        <item x="565"/>
        <item x="782"/>
        <item x="338"/>
        <item x="783"/>
        <item x="784"/>
        <item x="566"/>
        <item x="339"/>
        <item x="567"/>
        <item x="340"/>
        <item x="116"/>
        <item x="117"/>
        <item x="785"/>
        <item x="118"/>
        <item x="568"/>
        <item x="119"/>
        <item x="120"/>
        <item x="121"/>
        <item x="341"/>
        <item x="342"/>
        <item x="786"/>
        <item x="787"/>
        <item x="788"/>
        <item x="343"/>
        <item x="569"/>
        <item x="789"/>
        <item x="122"/>
        <item x="790"/>
        <item x="123"/>
        <item x="570"/>
        <item x="791"/>
        <item x="571"/>
        <item x="792"/>
        <item x="124"/>
        <item x="125"/>
        <item x="344"/>
        <item x="572"/>
        <item x="126"/>
        <item x="793"/>
        <item x="345"/>
        <item x="794"/>
        <item x="795"/>
        <item x="346"/>
        <item x="127"/>
        <item x="573"/>
        <item x="796"/>
        <item x="128"/>
        <item x="129"/>
        <item x="797"/>
        <item x="130"/>
        <item x="347"/>
        <item x="574"/>
        <item x="575"/>
        <item x="348"/>
        <item x="576"/>
        <item x="131"/>
        <item x="132"/>
        <item x="577"/>
        <item x="798"/>
        <item x="578"/>
        <item x="349"/>
        <item x="133"/>
        <item x="579"/>
        <item x="350"/>
        <item x="134"/>
        <item x="580"/>
        <item x="351"/>
        <item x="352"/>
        <item x="799"/>
        <item x="135"/>
        <item x="136"/>
        <item x="581"/>
        <item x="137"/>
        <item x="800"/>
        <item x="138"/>
        <item x="139"/>
        <item x="801"/>
        <item x="582"/>
        <item x="583"/>
        <item x="353"/>
        <item x="354"/>
        <item x="584"/>
        <item x="140"/>
        <item x="141"/>
        <item x="802"/>
        <item x="355"/>
        <item x="142"/>
        <item x="803"/>
        <item x="143"/>
        <item x="585"/>
        <item x="586"/>
        <item x="804"/>
        <item x="144"/>
        <item x="805"/>
        <item x="356"/>
        <item x="357"/>
        <item x="145"/>
        <item x="806"/>
        <item x="146"/>
        <item x="587"/>
        <item x="588"/>
        <item x="147"/>
        <item x="148"/>
        <item x="358"/>
        <item x="359"/>
        <item x="807"/>
        <item x="808"/>
        <item x="149"/>
        <item x="150"/>
        <item x="589"/>
        <item x="809"/>
        <item x="810"/>
        <item x="590"/>
        <item x="591"/>
        <item x="151"/>
        <item x="592"/>
        <item x="360"/>
        <item x="152"/>
        <item x="593"/>
        <item x="594"/>
        <item x="595"/>
        <item x="361"/>
        <item x="153"/>
        <item x="596"/>
        <item x="811"/>
        <item x="154"/>
        <item x="597"/>
        <item x="812"/>
        <item x="598"/>
        <item x="599"/>
        <item x="813"/>
        <item x="814"/>
        <item x="600"/>
        <item x="815"/>
        <item x="816"/>
        <item x="817"/>
        <item x="818"/>
        <item x="155"/>
        <item x="156"/>
        <item x="819"/>
        <item x="157"/>
        <item x="601"/>
        <item x="820"/>
        <item x="362"/>
        <item x="363"/>
        <item x="364"/>
        <item x="158"/>
        <item x="821"/>
        <item x="159"/>
        <item x="365"/>
        <item x="160"/>
        <item x="602"/>
        <item x="822"/>
        <item x="823"/>
        <item x="366"/>
        <item x="824"/>
        <item x="825"/>
        <item x="826"/>
        <item x="161"/>
        <item x="603"/>
        <item x="367"/>
        <item x="827"/>
        <item x="604"/>
        <item x="605"/>
        <item x="828"/>
        <item x="829"/>
        <item x="606"/>
        <item x="368"/>
        <item x="369"/>
        <item x="370"/>
        <item x="162"/>
        <item x="607"/>
        <item x="371"/>
        <item x="372"/>
        <item x="163"/>
        <item x="164"/>
        <item x="373"/>
        <item x="374"/>
        <item x="375"/>
        <item x="165"/>
        <item x="166"/>
        <item x="376"/>
        <item x="377"/>
        <item x="608"/>
        <item x="378"/>
        <item x="379"/>
        <item x="380"/>
        <item x="609"/>
        <item x="610"/>
        <item x="381"/>
        <item x="382"/>
        <item x="830"/>
        <item x="611"/>
        <item x="612"/>
        <item x="383"/>
        <item x="167"/>
        <item x="613"/>
        <item x="384"/>
        <item x="168"/>
        <item x="169"/>
        <item x="614"/>
        <item x="170"/>
        <item x="615"/>
        <item x="385"/>
        <item x="616"/>
        <item x="617"/>
        <item x="618"/>
        <item x="831"/>
        <item x="171"/>
        <item x="172"/>
        <item x="832"/>
        <item x="619"/>
        <item x="386"/>
        <item x="387"/>
        <item x="388"/>
        <item x="389"/>
        <item x="173"/>
        <item x="833"/>
        <item x="620"/>
        <item x="834"/>
        <item x="621"/>
        <item x="622"/>
        <item x="174"/>
        <item x="623"/>
        <item x="835"/>
        <item x="624"/>
        <item x="836"/>
        <item x="625"/>
        <item x="175"/>
        <item x="390"/>
        <item x="391"/>
        <item x="626"/>
        <item x="392"/>
        <item x="837"/>
        <item x="393"/>
        <item x="627"/>
        <item x="394"/>
        <item x="395"/>
        <item x="838"/>
        <item x="839"/>
        <item x="628"/>
        <item x="176"/>
        <item x="396"/>
        <item x="397"/>
        <item x="398"/>
        <item x="177"/>
        <item x="178"/>
        <item x="629"/>
        <item x="840"/>
        <item x="841"/>
        <item x="842"/>
        <item x="843"/>
        <item x="630"/>
        <item x="179"/>
        <item x="844"/>
        <item x="845"/>
        <item x="399"/>
        <item x="846"/>
        <item x="400"/>
        <item x="847"/>
        <item x="631"/>
        <item x="401"/>
        <item x="632"/>
        <item x="633"/>
        <item x="848"/>
        <item x="180"/>
        <item x="634"/>
        <item x="181"/>
        <item x="402"/>
        <item x="635"/>
        <item x="403"/>
        <item x="849"/>
        <item x="850"/>
        <item x="182"/>
        <item x="851"/>
        <item x="636"/>
        <item x="183"/>
        <item x="404"/>
        <item x="637"/>
        <item x="405"/>
        <item x="852"/>
        <item x="853"/>
        <item x="406"/>
        <item x="638"/>
        <item x="854"/>
        <item x="639"/>
        <item x="184"/>
        <item x="640"/>
        <item x="185"/>
        <item x="641"/>
        <item x="642"/>
        <item x="186"/>
        <item x="407"/>
        <item x="855"/>
        <item x="856"/>
        <item x="408"/>
        <item x="643"/>
        <item x="409"/>
        <item x="857"/>
        <item x="858"/>
        <item x="859"/>
        <item x="410"/>
        <item x="860"/>
        <item x="644"/>
        <item x="187"/>
        <item x="645"/>
        <item x="411"/>
        <item x="861"/>
        <item x="412"/>
        <item x="646"/>
        <item x="188"/>
        <item x="862"/>
        <item x="189"/>
        <item x="647"/>
        <item x="648"/>
        <item x="649"/>
        <item x="190"/>
        <item x="863"/>
        <item x="191"/>
        <item x="650"/>
        <item x="413"/>
        <item x="414"/>
        <item x="415"/>
        <item x="192"/>
        <item x="651"/>
        <item x="652"/>
        <item x="653"/>
        <item x="193"/>
        <item x="416"/>
        <item x="864"/>
        <item x="417"/>
        <item x="418"/>
        <item x="419"/>
        <item x="654"/>
        <item x="865"/>
        <item x="420"/>
        <item x="655"/>
        <item x="421"/>
        <item x="422"/>
        <item x="423"/>
        <item x="656"/>
        <item x="194"/>
        <item x="657"/>
        <item x="866"/>
        <item x="424"/>
        <item x="195"/>
        <item x="196"/>
        <item x="658"/>
        <item x="867"/>
        <item x="868"/>
        <item x="659"/>
        <item x="869"/>
        <item x="660"/>
        <item x="425"/>
        <item x="426"/>
        <item x="427"/>
        <item x="661"/>
        <item x="870"/>
        <item x="428"/>
        <item x="197"/>
        <item x="871"/>
        <item x="872"/>
        <item x="873"/>
        <item x="198"/>
        <item x="874"/>
        <item x="875"/>
        <item x="429"/>
        <item x="876"/>
        <item x="199"/>
        <item x="662"/>
        <item x="877"/>
        <item x="200"/>
        <item x="430"/>
        <item x="431"/>
        <item x="878"/>
        <item x="663"/>
        <item x="201"/>
        <item x="879"/>
        <item x="432"/>
        <item x="202"/>
        <item x="203"/>
        <item x="664"/>
        <item x="433"/>
        <item x="665"/>
        <item x="666"/>
        <item x="434"/>
        <item x="204"/>
        <item x="435"/>
        <item x="436"/>
        <item x="667"/>
        <item x="205"/>
        <item x="206"/>
        <item x="880"/>
        <item x="668"/>
        <item x="207"/>
        <item x="437"/>
        <item x="881"/>
        <item x="438"/>
        <item x="208"/>
        <item x="439"/>
        <item x="440"/>
        <item x="209"/>
        <item x="441"/>
        <item x="442"/>
        <item x="443"/>
        <item x="882"/>
        <item x="669"/>
        <item x="210"/>
        <item x="211"/>
        <item x="444"/>
        <item x="883"/>
        <item x="445"/>
        <item x="670"/>
        <item x="884"/>
        <item x="885"/>
        <item x="446"/>
        <item x="671"/>
        <item x="886"/>
        <item x="887"/>
        <item x="888"/>
        <item x="447"/>
        <item x="448"/>
        <item x="672"/>
        <item x="889"/>
        <item x="890"/>
        <item x="212"/>
        <item x="449"/>
        <item x="450"/>
        <item x="451"/>
        <item x="673"/>
        <item x="674"/>
        <item x="213"/>
        <item x="214"/>
        <item x="675"/>
        <item x="215"/>
        <item x="216"/>
        <item x="217"/>
        <item x="676"/>
        <item x="677"/>
        <item x="218"/>
        <item x="891"/>
        <item x="452"/>
        <item x="453"/>
        <item x="892"/>
        <item x="219"/>
        <item x="678"/>
        <item x="220"/>
        <item x="893"/>
        <item x="221"/>
        <item x="222"/>
        <item x="894"/>
        <item x="895"/>
        <item x="896"/>
        <item x="897"/>
        <item x="898"/>
        <item t="default"/>
      </items>
    </pivotField>
    <pivotField axis="axisRow" showAll="0">
      <items count="14">
        <item x="9"/>
        <item x="10"/>
        <item x="6"/>
        <item h="1" x="12"/>
        <item h="1" x="4"/>
        <item h="1" x="1"/>
        <item h="1" x="11"/>
        <item h="1" x="7"/>
        <item h="1" x="3"/>
        <item h="1" x="8"/>
        <item h="1" x="2"/>
        <item h="1" x="5"/>
        <item h="1" x="0"/>
        <item t="default"/>
      </items>
    </pivotField>
    <pivotField showAll="0">
      <items count="32">
        <item x="8"/>
        <item x="24"/>
        <item x="11"/>
        <item x="0"/>
        <item x="1"/>
        <item x="17"/>
        <item x="12"/>
        <item x="16"/>
        <item x="19"/>
        <item x="28"/>
        <item x="27"/>
        <item x="23"/>
        <item x="7"/>
        <item x="6"/>
        <item x="26"/>
        <item x="21"/>
        <item x="5"/>
        <item x="14"/>
        <item x="10"/>
        <item x="4"/>
        <item x="22"/>
        <item x="29"/>
        <item x="25"/>
        <item x="18"/>
        <item x="30"/>
        <item x="3"/>
        <item x="15"/>
        <item x="13"/>
        <item x="2"/>
        <item x="9"/>
        <item x="20"/>
        <item t="default"/>
      </items>
    </pivotField>
    <pivotField dataField="1" showAll="0">
      <items count="310">
        <item x="103"/>
        <item x="157"/>
        <item x="215"/>
        <item x="0"/>
        <item x="91"/>
        <item x="74"/>
        <item x="128"/>
        <item x="153"/>
        <item x="95"/>
        <item x="296"/>
        <item x="150"/>
        <item x="58"/>
        <item x="11"/>
        <item x="6"/>
        <item x="9"/>
        <item x="67"/>
        <item x="121"/>
        <item x="191"/>
        <item x="108"/>
        <item x="39"/>
        <item x="176"/>
        <item x="140"/>
        <item x="277"/>
        <item x="213"/>
        <item x="36"/>
        <item x="96"/>
        <item x="175"/>
        <item x="241"/>
        <item x="158"/>
        <item x="94"/>
        <item x="235"/>
        <item x="220"/>
        <item x="132"/>
        <item x="60"/>
        <item x="152"/>
        <item x="203"/>
        <item x="199"/>
        <item x="142"/>
        <item x="93"/>
        <item x="77"/>
        <item x="155"/>
        <item x="245"/>
        <item x="229"/>
        <item x="75"/>
        <item x="10"/>
        <item x="147"/>
        <item x="210"/>
        <item x="114"/>
        <item x="12"/>
        <item x="52"/>
        <item x="281"/>
        <item x="71"/>
        <item x="228"/>
        <item x="271"/>
        <item x="289"/>
        <item x="204"/>
        <item x="201"/>
        <item x="161"/>
        <item x="246"/>
        <item x="57"/>
        <item x="84"/>
        <item x="305"/>
        <item x="184"/>
        <item x="216"/>
        <item x="211"/>
        <item x="116"/>
        <item x="43"/>
        <item x="171"/>
        <item x="7"/>
        <item x="222"/>
        <item x="166"/>
        <item x="151"/>
        <item x="307"/>
        <item x="88"/>
        <item x="260"/>
        <item x="227"/>
        <item x="172"/>
        <item x="45"/>
        <item x="300"/>
        <item x="250"/>
        <item x="78"/>
        <item x="148"/>
        <item x="261"/>
        <item x="18"/>
        <item x="288"/>
        <item x="280"/>
        <item x="17"/>
        <item x="207"/>
        <item x="145"/>
        <item x="90"/>
        <item x="302"/>
        <item x="141"/>
        <item x="86"/>
        <item x="63"/>
        <item x="299"/>
        <item x="298"/>
        <item x="292"/>
        <item x="214"/>
        <item x="278"/>
        <item x="173"/>
        <item x="99"/>
        <item x="81"/>
        <item x="15"/>
        <item x="174"/>
        <item x="73"/>
        <item x="42"/>
        <item x="178"/>
        <item x="102"/>
        <item x="131"/>
        <item x="169"/>
        <item x="97"/>
        <item x="62"/>
        <item x="282"/>
        <item x="4"/>
        <item x="31"/>
        <item x="46"/>
        <item x="68"/>
        <item x="306"/>
        <item x="44"/>
        <item x="40"/>
        <item x="104"/>
        <item x="149"/>
        <item x="160"/>
        <item x="255"/>
        <item x="80"/>
        <item x="37"/>
        <item x="123"/>
        <item x="51"/>
        <item x="28"/>
        <item x="186"/>
        <item x="76"/>
        <item x="165"/>
        <item x="205"/>
        <item x="125"/>
        <item x="100"/>
        <item x="139"/>
        <item x="111"/>
        <item x="112"/>
        <item x="295"/>
        <item x="156"/>
        <item x="209"/>
        <item x="238"/>
        <item x="127"/>
        <item x="1"/>
        <item x="297"/>
        <item x="224"/>
        <item x="85"/>
        <item x="144"/>
        <item x="137"/>
        <item x="130"/>
        <item x="179"/>
        <item x="138"/>
        <item x="187"/>
        <item x="239"/>
        <item x="249"/>
        <item x="20"/>
        <item x="248"/>
        <item x="5"/>
        <item x="233"/>
        <item x="236"/>
        <item x="180"/>
        <item x="163"/>
        <item x="14"/>
        <item x="217"/>
        <item x="13"/>
        <item x="26"/>
        <item x="252"/>
        <item x="25"/>
        <item x="70"/>
        <item x="208"/>
        <item x="50"/>
        <item x="159"/>
        <item x="194"/>
        <item x="49"/>
        <item x="69"/>
        <item x="41"/>
        <item x="53"/>
        <item x="181"/>
        <item x="59"/>
        <item x="124"/>
        <item x="218"/>
        <item x="221"/>
        <item x="287"/>
        <item x="247"/>
        <item x="265"/>
        <item x="290"/>
        <item x="237"/>
        <item x="38"/>
        <item x="198"/>
        <item x="24"/>
        <item x="266"/>
        <item x="117"/>
        <item x="83"/>
        <item x="285"/>
        <item x="200"/>
        <item x="183"/>
        <item x="30"/>
        <item x="294"/>
        <item x="29"/>
        <item x="264"/>
        <item x="110"/>
        <item x="113"/>
        <item x="109"/>
        <item x="273"/>
        <item x="89"/>
        <item x="279"/>
        <item x="185"/>
        <item x="283"/>
        <item x="234"/>
        <item x="195"/>
        <item x="134"/>
        <item x="225"/>
        <item x="304"/>
        <item x="276"/>
        <item x="105"/>
        <item x="274"/>
        <item x="189"/>
        <item x="115"/>
        <item x="253"/>
        <item x="8"/>
        <item x="146"/>
        <item x="98"/>
        <item x="22"/>
        <item x="167"/>
        <item x="308"/>
        <item x="196"/>
        <item x="120"/>
        <item x="177"/>
        <item x="126"/>
        <item x="72"/>
        <item x="303"/>
        <item x="284"/>
        <item x="2"/>
        <item x="226"/>
        <item x="54"/>
        <item x="23"/>
        <item x="231"/>
        <item x="56"/>
        <item x="143"/>
        <item x="254"/>
        <item x="32"/>
        <item x="101"/>
        <item x="240"/>
        <item x="122"/>
        <item x="107"/>
        <item x="263"/>
        <item x="268"/>
        <item x="232"/>
        <item x="135"/>
        <item x="106"/>
        <item x="154"/>
        <item x="33"/>
        <item x="206"/>
        <item x="182"/>
        <item x="129"/>
        <item x="286"/>
        <item x="133"/>
        <item x="82"/>
        <item x="61"/>
        <item x="244"/>
        <item x="136"/>
        <item x="223"/>
        <item x="16"/>
        <item x="301"/>
        <item x="272"/>
        <item x="212"/>
        <item x="118"/>
        <item x="243"/>
        <item x="219"/>
        <item x="242"/>
        <item x="251"/>
        <item x="262"/>
        <item x="65"/>
        <item x="47"/>
        <item x="162"/>
        <item x="275"/>
        <item x="230"/>
        <item x="190"/>
        <item x="192"/>
        <item x="168"/>
        <item x="55"/>
        <item x="188"/>
        <item x="170"/>
        <item x="64"/>
        <item x="193"/>
        <item x="164"/>
        <item x="259"/>
        <item x="3"/>
        <item x="92"/>
        <item x="34"/>
        <item x="258"/>
        <item x="27"/>
        <item x="19"/>
        <item x="48"/>
        <item x="256"/>
        <item x="269"/>
        <item x="291"/>
        <item x="87"/>
        <item x="35"/>
        <item x="66"/>
        <item x="257"/>
        <item x="293"/>
        <item x="119"/>
        <item x="270"/>
        <item x="79"/>
        <item x="21"/>
        <item x="202"/>
        <item x="197"/>
        <item x="267"/>
        <item t="default"/>
      </items>
    </pivotField>
    <pivotField showAll="0"/>
    <pivotField axis="axisCol" showAll="0">
      <items count="5">
        <item h="1" x="0"/>
        <item x="1"/>
        <item h="1" x="2"/>
        <item h="1" x="3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2">
    <i>
      <x v="1"/>
    </i>
    <i t="grand">
      <x/>
    </i>
  </colItems>
  <dataFields count="1">
    <dataField name="Сумма по полю выручка" fld="3" baseField="3" baseItem="0"/>
  </dataFields>
  <formats count="2">
    <format dxfId="20">
      <pivotArea collapsedLevelsAreSubtotals="1" fieldPosition="0">
        <references count="2">
          <reference field="1" count="1">
            <x v="1"/>
          </reference>
          <reference field="5" count="1" selected="0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0C1CE-89E1-41A9-9414-67B5BD6FB22A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158:I172" firstHeaderRow="1" firstDataRow="1" firstDataCol="1"/>
  <pivotFields count="9">
    <pivotField numFmtId="22" showAll="0">
      <items count="900">
        <item x="0"/>
        <item x="223"/>
        <item x="679"/>
        <item x="680"/>
        <item x="681"/>
        <item x="1"/>
        <item x="2"/>
        <item x="224"/>
        <item x="3"/>
        <item x="225"/>
        <item x="682"/>
        <item x="4"/>
        <item x="454"/>
        <item x="226"/>
        <item x="5"/>
        <item x="227"/>
        <item x="228"/>
        <item x="455"/>
        <item x="456"/>
        <item x="457"/>
        <item x="6"/>
        <item x="683"/>
        <item x="229"/>
        <item x="458"/>
        <item x="7"/>
        <item x="684"/>
        <item x="459"/>
        <item x="8"/>
        <item x="230"/>
        <item x="460"/>
        <item x="461"/>
        <item x="231"/>
        <item x="685"/>
        <item x="462"/>
        <item x="463"/>
        <item x="464"/>
        <item x="232"/>
        <item x="233"/>
        <item x="9"/>
        <item x="465"/>
        <item x="466"/>
        <item x="686"/>
        <item x="10"/>
        <item x="11"/>
        <item x="12"/>
        <item x="234"/>
        <item x="13"/>
        <item x="467"/>
        <item x="468"/>
        <item x="235"/>
        <item x="687"/>
        <item x="236"/>
        <item x="14"/>
        <item x="688"/>
        <item x="689"/>
        <item x="237"/>
        <item x="238"/>
        <item x="469"/>
        <item x="470"/>
        <item x="471"/>
        <item x="239"/>
        <item x="240"/>
        <item x="15"/>
        <item x="690"/>
        <item x="691"/>
        <item x="472"/>
        <item x="473"/>
        <item x="241"/>
        <item x="692"/>
        <item x="16"/>
        <item x="693"/>
        <item x="17"/>
        <item x="242"/>
        <item x="18"/>
        <item x="243"/>
        <item x="474"/>
        <item x="19"/>
        <item x="694"/>
        <item x="475"/>
        <item x="476"/>
        <item x="477"/>
        <item x="20"/>
        <item x="244"/>
        <item x="245"/>
        <item x="21"/>
        <item x="22"/>
        <item x="478"/>
        <item x="695"/>
        <item x="23"/>
        <item x="479"/>
        <item x="480"/>
        <item x="246"/>
        <item x="696"/>
        <item x="481"/>
        <item x="697"/>
        <item x="482"/>
        <item x="24"/>
        <item x="483"/>
        <item x="698"/>
        <item x="484"/>
        <item x="25"/>
        <item x="26"/>
        <item x="699"/>
        <item x="700"/>
        <item x="485"/>
        <item x="27"/>
        <item x="701"/>
        <item x="247"/>
        <item x="28"/>
        <item x="702"/>
        <item x="248"/>
        <item x="29"/>
        <item x="486"/>
        <item x="249"/>
        <item x="250"/>
        <item x="703"/>
        <item x="30"/>
        <item x="31"/>
        <item x="251"/>
        <item x="487"/>
        <item x="252"/>
        <item x="253"/>
        <item x="32"/>
        <item x="33"/>
        <item x="488"/>
        <item x="704"/>
        <item x="705"/>
        <item x="489"/>
        <item x="34"/>
        <item x="490"/>
        <item x="706"/>
        <item x="491"/>
        <item x="707"/>
        <item x="35"/>
        <item x="36"/>
        <item x="708"/>
        <item x="492"/>
        <item x="254"/>
        <item x="255"/>
        <item x="709"/>
        <item x="37"/>
        <item x="710"/>
        <item x="711"/>
        <item x="256"/>
        <item x="257"/>
        <item x="38"/>
        <item x="493"/>
        <item x="494"/>
        <item x="258"/>
        <item x="259"/>
        <item x="260"/>
        <item x="261"/>
        <item x="712"/>
        <item x="262"/>
        <item x="713"/>
        <item x="495"/>
        <item x="39"/>
        <item x="263"/>
        <item x="40"/>
        <item x="496"/>
        <item x="497"/>
        <item x="714"/>
        <item x="41"/>
        <item x="264"/>
        <item x="715"/>
        <item x="42"/>
        <item x="43"/>
        <item x="265"/>
        <item x="44"/>
        <item x="266"/>
        <item x="267"/>
        <item x="268"/>
        <item x="498"/>
        <item x="716"/>
        <item x="717"/>
        <item x="499"/>
        <item x="500"/>
        <item x="718"/>
        <item x="719"/>
        <item x="45"/>
        <item x="720"/>
        <item x="501"/>
        <item x="46"/>
        <item x="502"/>
        <item x="47"/>
        <item x="721"/>
        <item x="503"/>
        <item x="722"/>
        <item x="723"/>
        <item x="504"/>
        <item x="48"/>
        <item x="269"/>
        <item x="270"/>
        <item x="724"/>
        <item x="725"/>
        <item x="505"/>
        <item x="506"/>
        <item x="49"/>
        <item x="50"/>
        <item x="51"/>
        <item x="507"/>
        <item x="726"/>
        <item x="52"/>
        <item x="271"/>
        <item x="272"/>
        <item x="53"/>
        <item x="54"/>
        <item x="727"/>
        <item x="55"/>
        <item x="728"/>
        <item x="729"/>
        <item x="56"/>
        <item x="508"/>
        <item x="57"/>
        <item x="58"/>
        <item x="730"/>
        <item x="731"/>
        <item x="509"/>
        <item x="273"/>
        <item x="274"/>
        <item x="59"/>
        <item x="732"/>
        <item x="275"/>
        <item x="510"/>
        <item x="511"/>
        <item x="60"/>
        <item x="512"/>
        <item x="276"/>
        <item x="277"/>
        <item x="61"/>
        <item x="513"/>
        <item x="278"/>
        <item x="62"/>
        <item x="279"/>
        <item x="514"/>
        <item x="280"/>
        <item x="733"/>
        <item x="63"/>
        <item x="515"/>
        <item x="64"/>
        <item x="734"/>
        <item x="65"/>
        <item x="66"/>
        <item x="735"/>
        <item x="736"/>
        <item x="67"/>
        <item x="281"/>
        <item x="737"/>
        <item x="68"/>
        <item x="516"/>
        <item x="517"/>
        <item x="518"/>
        <item x="519"/>
        <item x="282"/>
        <item x="738"/>
        <item x="283"/>
        <item x="284"/>
        <item x="520"/>
        <item x="69"/>
        <item x="285"/>
        <item x="521"/>
        <item x="286"/>
        <item x="739"/>
        <item x="522"/>
        <item x="287"/>
        <item x="523"/>
        <item x="70"/>
        <item x="71"/>
        <item x="740"/>
        <item x="288"/>
        <item x="289"/>
        <item x="290"/>
        <item x="524"/>
        <item x="525"/>
        <item x="526"/>
        <item x="291"/>
        <item x="292"/>
        <item x="527"/>
        <item x="293"/>
        <item x="741"/>
        <item x="528"/>
        <item x="529"/>
        <item x="742"/>
        <item x="72"/>
        <item x="743"/>
        <item x="530"/>
        <item x="744"/>
        <item x="294"/>
        <item x="745"/>
        <item x="295"/>
        <item x="531"/>
        <item x="73"/>
        <item x="74"/>
        <item x="532"/>
        <item x="296"/>
        <item x="746"/>
        <item x="533"/>
        <item x="75"/>
        <item x="76"/>
        <item x="77"/>
        <item x="78"/>
        <item x="297"/>
        <item x="747"/>
        <item x="748"/>
        <item x="79"/>
        <item x="298"/>
        <item x="299"/>
        <item x="300"/>
        <item x="749"/>
        <item x="301"/>
        <item x="534"/>
        <item x="750"/>
        <item x="80"/>
        <item x="535"/>
        <item x="81"/>
        <item x="751"/>
        <item x="302"/>
        <item x="752"/>
        <item x="536"/>
        <item x="303"/>
        <item x="537"/>
        <item x="82"/>
        <item x="83"/>
        <item x="304"/>
        <item x="305"/>
        <item x="84"/>
        <item x="753"/>
        <item x="538"/>
        <item x="306"/>
        <item x="539"/>
        <item x="85"/>
        <item x="754"/>
        <item x="86"/>
        <item x="755"/>
        <item x="307"/>
        <item x="308"/>
        <item x="540"/>
        <item x="756"/>
        <item x="309"/>
        <item x="310"/>
        <item x="87"/>
        <item x="541"/>
        <item x="757"/>
        <item x="542"/>
        <item x="543"/>
        <item x="88"/>
        <item x="89"/>
        <item x="544"/>
        <item x="90"/>
        <item x="758"/>
        <item x="311"/>
        <item x="312"/>
        <item x="759"/>
        <item x="760"/>
        <item x="313"/>
        <item x="91"/>
        <item x="545"/>
        <item x="92"/>
        <item x="546"/>
        <item x="761"/>
        <item x="762"/>
        <item x="547"/>
        <item x="93"/>
        <item x="94"/>
        <item x="95"/>
        <item x="314"/>
        <item x="763"/>
        <item x="315"/>
        <item x="96"/>
        <item x="316"/>
        <item x="317"/>
        <item x="97"/>
        <item x="764"/>
        <item x="318"/>
        <item x="765"/>
        <item x="548"/>
        <item x="766"/>
        <item x="98"/>
        <item x="767"/>
        <item x="768"/>
        <item x="769"/>
        <item x="319"/>
        <item x="99"/>
        <item x="320"/>
        <item x="100"/>
        <item x="101"/>
        <item x="321"/>
        <item x="549"/>
        <item x="550"/>
        <item x="551"/>
        <item x="102"/>
        <item x="322"/>
        <item x="323"/>
        <item x="103"/>
        <item x="324"/>
        <item x="770"/>
        <item x="552"/>
        <item x="771"/>
        <item x="104"/>
        <item x="772"/>
        <item x="553"/>
        <item x="773"/>
        <item x="325"/>
        <item x="554"/>
        <item x="326"/>
        <item x="555"/>
        <item x="105"/>
        <item x="106"/>
        <item x="107"/>
        <item x="108"/>
        <item x="327"/>
        <item x="328"/>
        <item x="556"/>
        <item x="329"/>
        <item x="774"/>
        <item x="775"/>
        <item x="109"/>
        <item x="776"/>
        <item x="110"/>
        <item x="557"/>
        <item x="111"/>
        <item x="330"/>
        <item x="558"/>
        <item x="559"/>
        <item x="331"/>
        <item x="332"/>
        <item x="560"/>
        <item x="777"/>
        <item x="112"/>
        <item x="561"/>
        <item x="333"/>
        <item x="334"/>
        <item x="113"/>
        <item x="562"/>
        <item x="563"/>
        <item x="335"/>
        <item x="114"/>
        <item x="778"/>
        <item x="115"/>
        <item x="336"/>
        <item x="779"/>
        <item x="564"/>
        <item x="780"/>
        <item x="781"/>
        <item x="337"/>
        <item x="565"/>
        <item x="782"/>
        <item x="338"/>
        <item x="783"/>
        <item x="784"/>
        <item x="566"/>
        <item x="339"/>
        <item x="567"/>
        <item x="340"/>
        <item x="116"/>
        <item x="117"/>
        <item x="785"/>
        <item x="118"/>
        <item x="568"/>
        <item x="119"/>
        <item x="120"/>
        <item x="121"/>
        <item x="341"/>
        <item x="342"/>
        <item x="786"/>
        <item x="787"/>
        <item x="788"/>
        <item x="343"/>
        <item x="569"/>
        <item x="789"/>
        <item x="122"/>
        <item x="790"/>
        <item x="123"/>
        <item x="570"/>
        <item x="791"/>
        <item x="571"/>
        <item x="792"/>
        <item x="124"/>
        <item x="125"/>
        <item x="344"/>
        <item x="572"/>
        <item x="126"/>
        <item x="793"/>
        <item x="345"/>
        <item x="794"/>
        <item x="795"/>
        <item x="346"/>
        <item x="127"/>
        <item x="573"/>
        <item x="796"/>
        <item x="128"/>
        <item x="129"/>
        <item x="797"/>
        <item x="130"/>
        <item x="347"/>
        <item x="574"/>
        <item x="575"/>
        <item x="348"/>
        <item x="576"/>
        <item x="131"/>
        <item x="132"/>
        <item x="577"/>
        <item x="798"/>
        <item x="578"/>
        <item x="349"/>
        <item x="133"/>
        <item x="579"/>
        <item x="350"/>
        <item x="134"/>
        <item x="580"/>
        <item x="351"/>
        <item x="352"/>
        <item x="799"/>
        <item x="135"/>
        <item x="136"/>
        <item x="581"/>
        <item x="137"/>
        <item x="800"/>
        <item x="138"/>
        <item x="139"/>
        <item x="801"/>
        <item x="582"/>
        <item x="583"/>
        <item x="353"/>
        <item x="354"/>
        <item x="584"/>
        <item x="140"/>
        <item x="141"/>
        <item x="802"/>
        <item x="355"/>
        <item x="142"/>
        <item x="803"/>
        <item x="143"/>
        <item x="585"/>
        <item x="586"/>
        <item x="804"/>
        <item x="144"/>
        <item x="805"/>
        <item x="356"/>
        <item x="357"/>
        <item x="145"/>
        <item x="806"/>
        <item x="146"/>
        <item x="587"/>
        <item x="588"/>
        <item x="147"/>
        <item x="148"/>
        <item x="358"/>
        <item x="359"/>
        <item x="807"/>
        <item x="808"/>
        <item x="149"/>
        <item x="150"/>
        <item x="589"/>
        <item x="809"/>
        <item x="810"/>
        <item x="590"/>
        <item x="591"/>
        <item x="151"/>
        <item x="592"/>
        <item x="360"/>
        <item x="152"/>
        <item x="593"/>
        <item x="594"/>
        <item x="595"/>
        <item x="361"/>
        <item x="153"/>
        <item x="596"/>
        <item x="811"/>
        <item x="154"/>
        <item x="597"/>
        <item x="812"/>
        <item x="598"/>
        <item x="599"/>
        <item x="813"/>
        <item x="814"/>
        <item x="600"/>
        <item x="815"/>
        <item x="816"/>
        <item x="817"/>
        <item x="818"/>
        <item x="155"/>
        <item x="156"/>
        <item x="819"/>
        <item x="157"/>
        <item x="601"/>
        <item x="820"/>
        <item x="362"/>
        <item x="363"/>
        <item x="364"/>
        <item x="158"/>
        <item x="821"/>
        <item x="159"/>
        <item x="365"/>
        <item x="160"/>
        <item x="602"/>
        <item x="822"/>
        <item x="823"/>
        <item x="366"/>
        <item x="824"/>
        <item x="825"/>
        <item x="826"/>
        <item x="161"/>
        <item x="603"/>
        <item x="367"/>
        <item x="827"/>
        <item x="604"/>
        <item x="605"/>
        <item x="828"/>
        <item x="829"/>
        <item x="606"/>
        <item x="368"/>
        <item x="369"/>
        <item x="370"/>
        <item x="162"/>
        <item x="607"/>
        <item x="371"/>
        <item x="372"/>
        <item x="163"/>
        <item x="164"/>
        <item x="373"/>
        <item x="374"/>
        <item x="375"/>
        <item x="165"/>
        <item x="166"/>
        <item x="376"/>
        <item x="377"/>
        <item x="608"/>
        <item x="378"/>
        <item x="379"/>
        <item x="380"/>
        <item x="609"/>
        <item x="610"/>
        <item x="381"/>
        <item x="382"/>
        <item x="830"/>
        <item x="611"/>
        <item x="612"/>
        <item x="383"/>
        <item x="167"/>
        <item x="613"/>
        <item x="384"/>
        <item x="168"/>
        <item x="169"/>
        <item x="614"/>
        <item x="170"/>
        <item x="615"/>
        <item x="385"/>
        <item x="616"/>
        <item x="617"/>
        <item x="618"/>
        <item x="831"/>
        <item x="171"/>
        <item x="172"/>
        <item x="832"/>
        <item x="619"/>
        <item x="386"/>
        <item x="387"/>
        <item x="388"/>
        <item x="389"/>
        <item x="173"/>
        <item x="833"/>
        <item x="620"/>
        <item x="834"/>
        <item x="621"/>
        <item x="622"/>
        <item x="174"/>
        <item x="623"/>
        <item x="835"/>
        <item x="624"/>
        <item x="836"/>
        <item x="625"/>
        <item x="175"/>
        <item x="390"/>
        <item x="391"/>
        <item x="626"/>
        <item x="392"/>
        <item x="837"/>
        <item x="393"/>
        <item x="627"/>
        <item x="394"/>
        <item x="395"/>
        <item x="838"/>
        <item x="839"/>
        <item x="628"/>
        <item x="176"/>
        <item x="396"/>
        <item x="397"/>
        <item x="398"/>
        <item x="177"/>
        <item x="178"/>
        <item x="629"/>
        <item x="840"/>
        <item x="841"/>
        <item x="842"/>
        <item x="843"/>
        <item x="630"/>
        <item x="179"/>
        <item x="844"/>
        <item x="845"/>
        <item x="399"/>
        <item x="846"/>
        <item x="400"/>
        <item x="847"/>
        <item x="631"/>
        <item x="401"/>
        <item x="632"/>
        <item x="633"/>
        <item x="848"/>
        <item x="180"/>
        <item x="634"/>
        <item x="181"/>
        <item x="402"/>
        <item x="635"/>
        <item x="403"/>
        <item x="849"/>
        <item x="850"/>
        <item x="182"/>
        <item x="851"/>
        <item x="636"/>
        <item x="183"/>
        <item x="404"/>
        <item x="637"/>
        <item x="405"/>
        <item x="852"/>
        <item x="853"/>
        <item x="406"/>
        <item x="638"/>
        <item x="854"/>
        <item x="639"/>
        <item x="184"/>
        <item x="640"/>
        <item x="185"/>
        <item x="641"/>
        <item x="642"/>
        <item x="186"/>
        <item x="407"/>
        <item x="855"/>
        <item x="856"/>
        <item x="408"/>
        <item x="643"/>
        <item x="409"/>
        <item x="857"/>
        <item x="858"/>
        <item x="859"/>
        <item x="410"/>
        <item x="860"/>
        <item x="644"/>
        <item x="187"/>
        <item x="645"/>
        <item x="411"/>
        <item x="861"/>
        <item x="412"/>
        <item x="646"/>
        <item x="188"/>
        <item x="862"/>
        <item x="189"/>
        <item x="647"/>
        <item x="648"/>
        <item x="649"/>
        <item x="190"/>
        <item x="863"/>
        <item x="191"/>
        <item x="650"/>
        <item x="413"/>
        <item x="414"/>
        <item x="415"/>
        <item x="192"/>
        <item x="651"/>
        <item x="652"/>
        <item x="653"/>
        <item x="193"/>
        <item x="416"/>
        <item x="864"/>
        <item x="417"/>
        <item x="418"/>
        <item x="419"/>
        <item x="654"/>
        <item x="865"/>
        <item x="420"/>
        <item x="655"/>
        <item x="421"/>
        <item x="422"/>
        <item x="423"/>
        <item x="656"/>
        <item x="194"/>
        <item x="657"/>
        <item x="866"/>
        <item x="424"/>
        <item x="195"/>
        <item x="196"/>
        <item x="658"/>
        <item x="867"/>
        <item x="868"/>
        <item x="659"/>
        <item x="869"/>
        <item x="660"/>
        <item x="425"/>
        <item x="426"/>
        <item x="427"/>
        <item x="661"/>
        <item x="870"/>
        <item x="428"/>
        <item x="197"/>
        <item x="871"/>
        <item x="872"/>
        <item x="873"/>
        <item x="198"/>
        <item x="874"/>
        <item x="875"/>
        <item x="429"/>
        <item x="876"/>
        <item x="199"/>
        <item x="662"/>
        <item x="877"/>
        <item x="200"/>
        <item x="430"/>
        <item x="431"/>
        <item x="878"/>
        <item x="663"/>
        <item x="201"/>
        <item x="879"/>
        <item x="432"/>
        <item x="202"/>
        <item x="203"/>
        <item x="664"/>
        <item x="433"/>
        <item x="665"/>
        <item x="666"/>
        <item x="434"/>
        <item x="204"/>
        <item x="435"/>
        <item x="436"/>
        <item x="667"/>
        <item x="205"/>
        <item x="206"/>
        <item x="880"/>
        <item x="668"/>
        <item x="207"/>
        <item x="437"/>
        <item x="881"/>
        <item x="438"/>
        <item x="208"/>
        <item x="439"/>
        <item x="440"/>
        <item x="209"/>
        <item x="441"/>
        <item x="442"/>
        <item x="443"/>
        <item x="882"/>
        <item x="669"/>
        <item x="210"/>
        <item x="211"/>
        <item x="444"/>
        <item x="883"/>
        <item x="445"/>
        <item x="670"/>
        <item x="884"/>
        <item x="885"/>
        <item x="446"/>
        <item x="671"/>
        <item x="886"/>
        <item x="887"/>
        <item x="888"/>
        <item x="447"/>
        <item x="448"/>
        <item x="672"/>
        <item x="889"/>
        <item x="890"/>
        <item x="212"/>
        <item x="449"/>
        <item x="450"/>
        <item x="451"/>
        <item x="673"/>
        <item x="674"/>
        <item x="213"/>
        <item x="214"/>
        <item x="675"/>
        <item x="215"/>
        <item x="216"/>
        <item x="217"/>
        <item x="676"/>
        <item x="677"/>
        <item x="218"/>
        <item x="891"/>
        <item x="452"/>
        <item x="453"/>
        <item x="892"/>
        <item x="219"/>
        <item x="678"/>
        <item x="220"/>
        <item x="893"/>
        <item x="221"/>
        <item x="222"/>
        <item x="894"/>
        <item x="895"/>
        <item x="896"/>
        <item x="897"/>
        <item x="898"/>
        <item t="default"/>
      </items>
    </pivotField>
    <pivotField axis="axisRow" showAll="0" sortType="descending">
      <items count="14">
        <item x="9"/>
        <item x="10"/>
        <item x="6"/>
        <item x="12"/>
        <item x="4"/>
        <item x="1"/>
        <item x="11"/>
        <item x="7"/>
        <item x="3"/>
        <item x="8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310">
        <item x="103"/>
        <item x="157"/>
        <item x="215"/>
        <item x="0"/>
        <item x="91"/>
        <item x="74"/>
        <item x="128"/>
        <item x="153"/>
        <item x="95"/>
        <item x="296"/>
        <item x="150"/>
        <item x="58"/>
        <item x="11"/>
        <item x="6"/>
        <item x="9"/>
        <item x="67"/>
        <item x="121"/>
        <item x="191"/>
        <item x="108"/>
        <item x="39"/>
        <item x="176"/>
        <item x="140"/>
        <item x="277"/>
        <item x="213"/>
        <item x="36"/>
        <item x="96"/>
        <item x="175"/>
        <item x="241"/>
        <item x="158"/>
        <item x="94"/>
        <item x="235"/>
        <item x="220"/>
        <item x="132"/>
        <item x="60"/>
        <item x="152"/>
        <item x="203"/>
        <item x="199"/>
        <item x="142"/>
        <item x="93"/>
        <item x="77"/>
        <item x="155"/>
        <item x="245"/>
        <item x="229"/>
        <item x="75"/>
        <item x="10"/>
        <item x="147"/>
        <item x="210"/>
        <item x="114"/>
        <item x="12"/>
        <item x="52"/>
        <item x="281"/>
        <item x="71"/>
        <item x="228"/>
        <item x="271"/>
        <item x="289"/>
        <item x="204"/>
        <item x="201"/>
        <item x="161"/>
        <item x="246"/>
        <item x="57"/>
        <item x="84"/>
        <item x="305"/>
        <item x="184"/>
        <item x="216"/>
        <item x="211"/>
        <item x="116"/>
        <item x="43"/>
        <item x="171"/>
        <item x="7"/>
        <item x="222"/>
        <item x="166"/>
        <item x="151"/>
        <item x="307"/>
        <item x="88"/>
        <item x="260"/>
        <item x="227"/>
        <item x="172"/>
        <item x="45"/>
        <item x="300"/>
        <item x="250"/>
        <item x="78"/>
        <item x="148"/>
        <item x="261"/>
        <item x="18"/>
        <item x="288"/>
        <item x="280"/>
        <item x="17"/>
        <item x="207"/>
        <item x="145"/>
        <item x="90"/>
        <item x="302"/>
        <item x="141"/>
        <item x="86"/>
        <item x="63"/>
        <item x="299"/>
        <item x="298"/>
        <item x="292"/>
        <item x="214"/>
        <item x="278"/>
        <item x="173"/>
        <item x="99"/>
        <item x="81"/>
        <item x="15"/>
        <item x="174"/>
        <item x="73"/>
        <item x="42"/>
        <item x="178"/>
        <item x="102"/>
        <item x="131"/>
        <item x="169"/>
        <item x="97"/>
        <item x="62"/>
        <item x="282"/>
        <item x="4"/>
        <item x="31"/>
        <item x="46"/>
        <item x="68"/>
        <item x="306"/>
        <item x="44"/>
        <item x="40"/>
        <item x="104"/>
        <item x="149"/>
        <item x="160"/>
        <item x="255"/>
        <item x="80"/>
        <item x="37"/>
        <item x="123"/>
        <item x="51"/>
        <item x="28"/>
        <item x="186"/>
        <item x="76"/>
        <item x="165"/>
        <item x="205"/>
        <item x="125"/>
        <item x="100"/>
        <item x="139"/>
        <item x="111"/>
        <item x="112"/>
        <item x="295"/>
        <item x="156"/>
        <item x="209"/>
        <item x="238"/>
        <item x="127"/>
        <item x="1"/>
        <item x="297"/>
        <item x="224"/>
        <item x="85"/>
        <item x="144"/>
        <item x="137"/>
        <item x="130"/>
        <item x="179"/>
        <item x="138"/>
        <item x="187"/>
        <item x="239"/>
        <item x="249"/>
        <item x="20"/>
        <item x="248"/>
        <item x="5"/>
        <item x="233"/>
        <item x="236"/>
        <item x="180"/>
        <item x="163"/>
        <item x="14"/>
        <item x="217"/>
        <item x="13"/>
        <item x="26"/>
        <item x="252"/>
        <item x="25"/>
        <item x="70"/>
        <item x="208"/>
        <item x="50"/>
        <item x="159"/>
        <item x="194"/>
        <item x="49"/>
        <item x="69"/>
        <item x="41"/>
        <item x="53"/>
        <item x="181"/>
        <item x="59"/>
        <item x="124"/>
        <item x="218"/>
        <item x="221"/>
        <item x="287"/>
        <item x="247"/>
        <item x="265"/>
        <item x="290"/>
        <item x="237"/>
        <item x="38"/>
        <item x="198"/>
        <item x="24"/>
        <item x="266"/>
        <item x="117"/>
        <item x="83"/>
        <item x="285"/>
        <item x="200"/>
        <item x="183"/>
        <item x="30"/>
        <item x="294"/>
        <item x="29"/>
        <item x="264"/>
        <item x="110"/>
        <item x="113"/>
        <item x="109"/>
        <item x="273"/>
        <item x="89"/>
        <item x="279"/>
        <item x="185"/>
        <item x="283"/>
        <item x="234"/>
        <item x="195"/>
        <item x="134"/>
        <item x="225"/>
        <item x="304"/>
        <item x="276"/>
        <item x="105"/>
        <item x="274"/>
        <item x="189"/>
        <item x="115"/>
        <item x="253"/>
        <item x="8"/>
        <item x="146"/>
        <item x="98"/>
        <item x="22"/>
        <item x="167"/>
        <item x="308"/>
        <item x="196"/>
        <item x="120"/>
        <item x="177"/>
        <item x="126"/>
        <item x="72"/>
        <item x="303"/>
        <item x="284"/>
        <item x="2"/>
        <item x="226"/>
        <item x="54"/>
        <item x="23"/>
        <item x="231"/>
        <item x="56"/>
        <item x="143"/>
        <item x="254"/>
        <item x="32"/>
        <item x="101"/>
        <item x="240"/>
        <item x="122"/>
        <item x="107"/>
        <item x="263"/>
        <item x="268"/>
        <item x="232"/>
        <item x="135"/>
        <item x="106"/>
        <item x="154"/>
        <item x="33"/>
        <item x="206"/>
        <item x="182"/>
        <item x="129"/>
        <item x="286"/>
        <item x="133"/>
        <item x="82"/>
        <item x="61"/>
        <item x="244"/>
        <item x="136"/>
        <item x="223"/>
        <item x="16"/>
        <item x="301"/>
        <item x="272"/>
        <item x="212"/>
        <item x="118"/>
        <item x="243"/>
        <item x="219"/>
        <item x="242"/>
        <item x="251"/>
        <item x="262"/>
        <item x="65"/>
        <item x="47"/>
        <item x="162"/>
        <item x="275"/>
        <item x="230"/>
        <item x="190"/>
        <item x="192"/>
        <item x="168"/>
        <item x="55"/>
        <item x="188"/>
        <item x="170"/>
        <item x="64"/>
        <item x="193"/>
        <item x="164"/>
        <item x="259"/>
        <item x="3"/>
        <item x="92"/>
        <item x="34"/>
        <item x="258"/>
        <item x="27"/>
        <item x="19"/>
        <item x="48"/>
        <item x="256"/>
        <item x="269"/>
        <item x="291"/>
        <item x="87"/>
        <item x="35"/>
        <item x="66"/>
        <item x="257"/>
        <item x="293"/>
        <item x="119"/>
        <item x="270"/>
        <item x="79"/>
        <item x="21"/>
        <item x="202"/>
        <item x="197"/>
        <item x="267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14">
    <i>
      <x v="5"/>
    </i>
    <i>
      <x v="1"/>
    </i>
    <i>
      <x v="10"/>
    </i>
    <i>
      <x v="2"/>
    </i>
    <i>
      <x v="11"/>
    </i>
    <i>
      <x v="7"/>
    </i>
    <i>
      <x v="6"/>
    </i>
    <i>
      <x/>
    </i>
    <i>
      <x v="9"/>
    </i>
    <i>
      <x v="4"/>
    </i>
    <i>
      <x v="12"/>
    </i>
    <i>
      <x v="8"/>
    </i>
    <i>
      <x v="3"/>
    </i>
    <i t="grand">
      <x/>
    </i>
  </rowItems>
  <colItems count="1">
    <i/>
  </colItems>
  <dataFields count="1">
    <dataField name="Сумма по полю выручка" fld="3" baseField="0" baseItem="0"/>
  </dataFields>
  <formats count="4">
    <format dxfId="24">
      <pivotArea collapsedLevelsAreSubtotals="1" fieldPosition="0">
        <references count="1">
          <reference field="1" count="1">
            <x v="5"/>
          </reference>
        </references>
      </pivotArea>
    </format>
    <format dxfId="23">
      <pivotArea dataOnly="0" labelOnly="1" fieldPosition="0">
        <references count="1">
          <reference field="1" count="1">
            <x v="5"/>
          </reference>
        </references>
      </pivotArea>
    </format>
    <format dxfId="22">
      <pivotArea collapsedLevelsAreSubtotals="1" fieldPosition="0">
        <references count="1">
          <reference field="1" count="1">
            <x v="5"/>
          </reference>
        </references>
      </pivotArea>
    </format>
    <format dxfId="21">
      <pivotArea dataOnly="0" labelOnly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7B8A7-BB88-4999-A6F9-251CBC922E44}" name="Сводная таблица35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L124:M130" firstHeaderRow="1" firstDataRow="1" firstDataCol="1"/>
  <pivotFields count="9">
    <pivotField numFmtId="22" showAll="0">
      <items count="900">
        <item x="0"/>
        <item x="223"/>
        <item x="679"/>
        <item x="680"/>
        <item x="681"/>
        <item x="1"/>
        <item x="2"/>
        <item x="224"/>
        <item x="3"/>
        <item x="225"/>
        <item x="682"/>
        <item x="4"/>
        <item x="454"/>
        <item x="226"/>
        <item x="5"/>
        <item x="227"/>
        <item x="228"/>
        <item x="455"/>
        <item x="456"/>
        <item x="457"/>
        <item x="6"/>
        <item x="683"/>
        <item x="229"/>
        <item x="458"/>
        <item x="7"/>
        <item x="684"/>
        <item x="459"/>
        <item x="8"/>
        <item x="230"/>
        <item x="460"/>
        <item x="461"/>
        <item x="231"/>
        <item x="685"/>
        <item x="462"/>
        <item x="463"/>
        <item x="464"/>
        <item x="232"/>
        <item x="233"/>
        <item x="9"/>
        <item x="465"/>
        <item x="466"/>
        <item x="686"/>
        <item x="10"/>
        <item x="11"/>
        <item x="12"/>
        <item x="234"/>
        <item x="13"/>
        <item x="467"/>
        <item x="468"/>
        <item x="235"/>
        <item x="687"/>
        <item x="236"/>
        <item x="14"/>
        <item x="688"/>
        <item x="689"/>
        <item x="237"/>
        <item x="238"/>
        <item x="469"/>
        <item x="470"/>
        <item x="471"/>
        <item x="239"/>
        <item x="240"/>
        <item x="15"/>
        <item x="690"/>
        <item x="691"/>
        <item x="472"/>
        <item x="473"/>
        <item x="241"/>
        <item x="692"/>
        <item x="16"/>
        <item x="693"/>
        <item x="17"/>
        <item x="242"/>
        <item x="18"/>
        <item x="243"/>
        <item x="474"/>
        <item x="19"/>
        <item x="694"/>
        <item x="475"/>
        <item x="476"/>
        <item x="477"/>
        <item x="20"/>
        <item x="244"/>
        <item x="245"/>
        <item x="21"/>
        <item x="22"/>
        <item x="478"/>
        <item x="695"/>
        <item x="23"/>
        <item x="479"/>
        <item x="480"/>
        <item x="246"/>
        <item x="696"/>
        <item x="481"/>
        <item x="697"/>
        <item x="482"/>
        <item x="24"/>
        <item x="483"/>
        <item x="698"/>
        <item x="484"/>
        <item x="25"/>
        <item x="26"/>
        <item x="699"/>
        <item x="700"/>
        <item x="485"/>
        <item x="27"/>
        <item x="701"/>
        <item x="247"/>
        <item x="28"/>
        <item x="702"/>
        <item x="248"/>
        <item x="29"/>
        <item x="486"/>
        <item x="249"/>
        <item x="250"/>
        <item x="703"/>
        <item x="30"/>
        <item x="31"/>
        <item x="251"/>
        <item x="487"/>
        <item x="252"/>
        <item x="253"/>
        <item x="32"/>
        <item x="33"/>
        <item x="488"/>
        <item x="704"/>
        <item x="705"/>
        <item x="489"/>
        <item x="34"/>
        <item x="490"/>
        <item x="706"/>
        <item x="491"/>
        <item x="707"/>
        <item x="35"/>
        <item x="36"/>
        <item x="708"/>
        <item x="492"/>
        <item x="254"/>
        <item x="255"/>
        <item x="709"/>
        <item x="37"/>
        <item x="710"/>
        <item x="711"/>
        <item x="256"/>
        <item x="257"/>
        <item x="38"/>
        <item x="493"/>
        <item x="494"/>
        <item x="258"/>
        <item x="259"/>
        <item x="260"/>
        <item x="261"/>
        <item x="712"/>
        <item x="262"/>
        <item x="713"/>
        <item x="495"/>
        <item x="39"/>
        <item x="263"/>
        <item x="40"/>
        <item x="496"/>
        <item x="497"/>
        <item x="714"/>
        <item x="41"/>
        <item x="264"/>
        <item x="715"/>
        <item x="42"/>
        <item x="43"/>
        <item x="265"/>
        <item x="44"/>
        <item x="266"/>
        <item x="267"/>
        <item x="268"/>
        <item x="498"/>
        <item x="716"/>
        <item x="717"/>
        <item x="499"/>
        <item x="500"/>
        <item x="718"/>
        <item x="719"/>
        <item x="45"/>
        <item x="720"/>
        <item x="501"/>
        <item x="46"/>
        <item x="502"/>
        <item x="47"/>
        <item x="721"/>
        <item x="503"/>
        <item x="722"/>
        <item x="723"/>
        <item x="504"/>
        <item x="48"/>
        <item x="269"/>
        <item x="270"/>
        <item x="724"/>
        <item x="725"/>
        <item x="505"/>
        <item x="506"/>
        <item x="49"/>
        <item x="50"/>
        <item x="51"/>
        <item x="507"/>
        <item x="726"/>
        <item x="52"/>
        <item x="271"/>
        <item x="272"/>
        <item x="53"/>
        <item x="54"/>
        <item x="727"/>
        <item x="55"/>
        <item x="728"/>
        <item x="729"/>
        <item x="56"/>
        <item x="508"/>
        <item x="57"/>
        <item x="58"/>
        <item x="730"/>
        <item x="731"/>
        <item x="509"/>
        <item x="273"/>
        <item x="274"/>
        <item x="59"/>
        <item x="732"/>
        <item x="275"/>
        <item x="510"/>
        <item x="511"/>
        <item x="60"/>
        <item x="512"/>
        <item x="276"/>
        <item x="277"/>
        <item x="61"/>
        <item x="513"/>
        <item x="278"/>
        <item x="62"/>
        <item x="279"/>
        <item x="514"/>
        <item x="280"/>
        <item x="733"/>
        <item x="63"/>
        <item x="515"/>
        <item x="64"/>
        <item x="734"/>
        <item x="65"/>
        <item x="66"/>
        <item x="735"/>
        <item x="736"/>
        <item x="67"/>
        <item x="281"/>
        <item x="737"/>
        <item x="68"/>
        <item x="516"/>
        <item x="517"/>
        <item x="518"/>
        <item x="519"/>
        <item x="282"/>
        <item x="738"/>
        <item x="283"/>
        <item x="284"/>
        <item x="520"/>
        <item x="69"/>
        <item x="285"/>
        <item x="521"/>
        <item x="286"/>
        <item x="739"/>
        <item x="522"/>
        <item x="287"/>
        <item x="523"/>
        <item x="70"/>
        <item x="71"/>
        <item x="740"/>
        <item x="288"/>
        <item x="289"/>
        <item x="290"/>
        <item x="524"/>
        <item x="525"/>
        <item x="526"/>
        <item x="291"/>
        <item x="292"/>
        <item x="527"/>
        <item x="293"/>
        <item x="741"/>
        <item x="528"/>
        <item x="529"/>
        <item x="742"/>
        <item x="72"/>
        <item x="743"/>
        <item x="530"/>
        <item x="744"/>
        <item x="294"/>
        <item x="745"/>
        <item x="295"/>
        <item x="531"/>
        <item x="73"/>
        <item x="74"/>
        <item x="532"/>
        <item x="296"/>
        <item x="746"/>
        <item x="533"/>
        <item x="75"/>
        <item x="76"/>
        <item x="77"/>
        <item x="78"/>
        <item x="297"/>
        <item x="747"/>
        <item x="748"/>
        <item x="79"/>
        <item x="298"/>
        <item x="299"/>
        <item x="300"/>
        <item x="749"/>
        <item x="301"/>
        <item x="534"/>
        <item x="750"/>
        <item x="80"/>
        <item x="535"/>
        <item x="81"/>
        <item x="751"/>
        <item x="302"/>
        <item x="752"/>
        <item x="536"/>
        <item x="303"/>
        <item x="537"/>
        <item x="82"/>
        <item x="83"/>
        <item x="304"/>
        <item x="305"/>
        <item x="84"/>
        <item x="753"/>
        <item x="538"/>
        <item x="306"/>
        <item x="539"/>
        <item x="85"/>
        <item x="754"/>
        <item x="86"/>
        <item x="755"/>
        <item x="307"/>
        <item x="308"/>
        <item x="540"/>
        <item x="756"/>
        <item x="309"/>
        <item x="310"/>
        <item x="87"/>
        <item x="541"/>
        <item x="757"/>
        <item x="542"/>
        <item x="543"/>
        <item x="88"/>
        <item x="89"/>
        <item x="544"/>
        <item x="90"/>
        <item x="758"/>
        <item x="311"/>
        <item x="312"/>
        <item x="759"/>
        <item x="760"/>
        <item x="313"/>
        <item x="91"/>
        <item x="545"/>
        <item x="92"/>
        <item x="546"/>
        <item x="761"/>
        <item x="762"/>
        <item x="547"/>
        <item x="93"/>
        <item x="94"/>
        <item x="95"/>
        <item x="314"/>
        <item x="763"/>
        <item x="315"/>
        <item x="96"/>
        <item x="316"/>
        <item x="317"/>
        <item x="97"/>
        <item x="764"/>
        <item x="318"/>
        <item x="765"/>
        <item x="548"/>
        <item x="766"/>
        <item x="98"/>
        <item x="767"/>
        <item x="768"/>
        <item x="769"/>
        <item x="319"/>
        <item x="99"/>
        <item x="320"/>
        <item x="100"/>
        <item x="101"/>
        <item x="321"/>
        <item x="549"/>
        <item x="550"/>
        <item x="551"/>
        <item x="102"/>
        <item x="322"/>
        <item x="323"/>
        <item x="103"/>
        <item x="324"/>
        <item x="770"/>
        <item x="552"/>
        <item x="771"/>
        <item x="104"/>
        <item x="772"/>
        <item x="553"/>
        <item x="773"/>
        <item x="325"/>
        <item x="554"/>
        <item x="326"/>
        <item x="555"/>
        <item x="105"/>
        <item x="106"/>
        <item x="107"/>
        <item x="108"/>
        <item x="327"/>
        <item x="328"/>
        <item x="556"/>
        <item x="329"/>
        <item x="774"/>
        <item x="775"/>
        <item x="109"/>
        <item x="776"/>
        <item x="110"/>
        <item x="557"/>
        <item x="111"/>
        <item x="330"/>
        <item x="558"/>
        <item x="559"/>
        <item x="331"/>
        <item x="332"/>
        <item x="560"/>
        <item x="777"/>
        <item x="112"/>
        <item x="561"/>
        <item x="333"/>
        <item x="334"/>
        <item x="113"/>
        <item x="562"/>
        <item x="563"/>
        <item x="335"/>
        <item x="114"/>
        <item x="778"/>
        <item x="115"/>
        <item x="336"/>
        <item x="779"/>
        <item x="564"/>
        <item x="780"/>
        <item x="781"/>
        <item x="337"/>
        <item x="565"/>
        <item x="782"/>
        <item x="338"/>
        <item x="783"/>
        <item x="784"/>
        <item x="566"/>
        <item x="339"/>
        <item x="567"/>
        <item x="340"/>
        <item x="116"/>
        <item x="117"/>
        <item x="785"/>
        <item x="118"/>
        <item x="568"/>
        <item x="119"/>
        <item x="120"/>
        <item x="121"/>
        <item x="341"/>
        <item x="342"/>
        <item x="786"/>
        <item x="787"/>
        <item x="788"/>
        <item x="343"/>
        <item x="569"/>
        <item x="789"/>
        <item x="122"/>
        <item x="790"/>
        <item x="123"/>
        <item x="570"/>
        <item x="791"/>
        <item x="571"/>
        <item x="792"/>
        <item x="124"/>
        <item x="125"/>
        <item x="344"/>
        <item x="572"/>
        <item x="126"/>
        <item x="793"/>
        <item x="345"/>
        <item x="794"/>
        <item x="795"/>
        <item x="346"/>
        <item x="127"/>
        <item x="573"/>
        <item x="796"/>
        <item x="128"/>
        <item x="129"/>
        <item x="797"/>
        <item x="130"/>
        <item x="347"/>
        <item x="574"/>
        <item x="575"/>
        <item x="348"/>
        <item x="576"/>
        <item x="131"/>
        <item x="132"/>
        <item x="577"/>
        <item x="798"/>
        <item x="578"/>
        <item x="349"/>
        <item x="133"/>
        <item x="579"/>
        <item x="350"/>
        <item x="134"/>
        <item x="580"/>
        <item x="351"/>
        <item x="352"/>
        <item x="799"/>
        <item x="135"/>
        <item x="136"/>
        <item x="581"/>
        <item x="137"/>
        <item x="800"/>
        <item x="138"/>
        <item x="139"/>
        <item x="801"/>
        <item x="582"/>
        <item x="583"/>
        <item x="353"/>
        <item x="354"/>
        <item x="584"/>
        <item x="140"/>
        <item x="141"/>
        <item x="802"/>
        <item x="355"/>
        <item x="142"/>
        <item x="803"/>
        <item x="143"/>
        <item x="585"/>
        <item x="586"/>
        <item x="804"/>
        <item x="144"/>
        <item x="805"/>
        <item x="356"/>
        <item x="357"/>
        <item x="145"/>
        <item x="806"/>
        <item x="146"/>
        <item x="587"/>
        <item x="588"/>
        <item x="147"/>
        <item x="148"/>
        <item x="358"/>
        <item x="359"/>
        <item x="807"/>
        <item x="808"/>
        <item x="149"/>
        <item x="150"/>
        <item x="589"/>
        <item x="809"/>
        <item x="810"/>
        <item x="590"/>
        <item x="591"/>
        <item x="151"/>
        <item x="592"/>
        <item x="360"/>
        <item x="152"/>
        <item x="593"/>
        <item x="594"/>
        <item x="595"/>
        <item x="361"/>
        <item x="153"/>
        <item x="596"/>
        <item x="811"/>
        <item x="154"/>
        <item x="597"/>
        <item x="812"/>
        <item x="598"/>
        <item x="599"/>
        <item x="813"/>
        <item x="814"/>
        <item x="600"/>
        <item x="815"/>
        <item x="816"/>
        <item x="817"/>
        <item x="818"/>
        <item x="155"/>
        <item x="156"/>
        <item x="819"/>
        <item x="157"/>
        <item x="601"/>
        <item x="820"/>
        <item x="362"/>
        <item x="363"/>
        <item x="364"/>
        <item x="158"/>
        <item x="821"/>
        <item x="159"/>
        <item x="365"/>
        <item x="160"/>
        <item x="602"/>
        <item x="822"/>
        <item x="823"/>
        <item x="366"/>
        <item x="824"/>
        <item x="825"/>
        <item x="826"/>
        <item x="161"/>
        <item x="603"/>
        <item x="367"/>
        <item x="827"/>
        <item x="604"/>
        <item x="605"/>
        <item x="828"/>
        <item x="829"/>
        <item x="606"/>
        <item x="368"/>
        <item x="369"/>
        <item x="370"/>
        <item x="162"/>
        <item x="607"/>
        <item x="371"/>
        <item x="372"/>
        <item x="163"/>
        <item x="164"/>
        <item x="373"/>
        <item x="374"/>
        <item x="375"/>
        <item x="165"/>
        <item x="166"/>
        <item x="376"/>
        <item x="377"/>
        <item x="608"/>
        <item x="378"/>
        <item x="379"/>
        <item x="380"/>
        <item x="609"/>
        <item x="610"/>
        <item x="381"/>
        <item x="382"/>
        <item x="830"/>
        <item x="611"/>
        <item x="612"/>
        <item x="383"/>
        <item x="167"/>
        <item x="613"/>
        <item x="384"/>
        <item x="168"/>
        <item x="169"/>
        <item x="614"/>
        <item x="170"/>
        <item x="615"/>
        <item x="385"/>
        <item x="616"/>
        <item x="617"/>
        <item x="618"/>
        <item x="831"/>
        <item x="171"/>
        <item x="172"/>
        <item x="832"/>
        <item x="619"/>
        <item x="386"/>
        <item x="387"/>
        <item x="388"/>
        <item x="389"/>
        <item x="173"/>
        <item x="833"/>
        <item x="620"/>
        <item x="834"/>
        <item x="621"/>
        <item x="622"/>
        <item x="174"/>
        <item x="623"/>
        <item x="835"/>
        <item x="624"/>
        <item x="836"/>
        <item x="625"/>
        <item x="175"/>
        <item x="390"/>
        <item x="391"/>
        <item x="626"/>
        <item x="392"/>
        <item x="837"/>
        <item x="393"/>
        <item x="627"/>
        <item x="394"/>
        <item x="395"/>
        <item x="838"/>
        <item x="839"/>
        <item x="628"/>
        <item x="176"/>
        <item x="396"/>
        <item x="397"/>
        <item x="398"/>
        <item x="177"/>
        <item x="178"/>
        <item x="629"/>
        <item x="840"/>
        <item x="841"/>
        <item x="842"/>
        <item x="843"/>
        <item x="630"/>
        <item x="179"/>
        <item x="844"/>
        <item x="845"/>
        <item x="399"/>
        <item x="846"/>
        <item x="400"/>
        <item x="847"/>
        <item x="631"/>
        <item x="401"/>
        <item x="632"/>
        <item x="633"/>
        <item x="848"/>
        <item x="180"/>
        <item x="634"/>
        <item x="181"/>
        <item x="402"/>
        <item x="635"/>
        <item x="403"/>
        <item x="849"/>
        <item x="850"/>
        <item x="182"/>
        <item x="851"/>
        <item x="636"/>
        <item x="183"/>
        <item x="404"/>
        <item x="637"/>
        <item x="405"/>
        <item x="852"/>
        <item x="853"/>
        <item x="406"/>
        <item x="638"/>
        <item x="854"/>
        <item x="639"/>
        <item x="184"/>
        <item x="640"/>
        <item x="185"/>
        <item x="641"/>
        <item x="642"/>
        <item x="186"/>
        <item x="407"/>
        <item x="855"/>
        <item x="856"/>
        <item x="408"/>
        <item x="643"/>
        <item x="409"/>
        <item x="857"/>
        <item x="858"/>
        <item x="859"/>
        <item x="410"/>
        <item x="860"/>
        <item x="644"/>
        <item x="187"/>
        <item x="645"/>
        <item x="411"/>
        <item x="861"/>
        <item x="412"/>
        <item x="646"/>
        <item x="188"/>
        <item x="862"/>
        <item x="189"/>
        <item x="647"/>
        <item x="648"/>
        <item x="649"/>
        <item x="190"/>
        <item x="863"/>
        <item x="191"/>
        <item x="650"/>
        <item x="413"/>
        <item x="414"/>
        <item x="415"/>
        <item x="192"/>
        <item x="651"/>
        <item x="652"/>
        <item x="653"/>
        <item x="193"/>
        <item x="416"/>
        <item x="864"/>
        <item x="417"/>
        <item x="418"/>
        <item x="419"/>
        <item x="654"/>
        <item x="865"/>
        <item x="420"/>
        <item x="655"/>
        <item x="421"/>
        <item x="422"/>
        <item x="423"/>
        <item x="656"/>
        <item x="194"/>
        <item x="657"/>
        <item x="866"/>
        <item x="424"/>
        <item x="195"/>
        <item x="196"/>
        <item x="658"/>
        <item x="867"/>
        <item x="868"/>
        <item x="659"/>
        <item x="869"/>
        <item x="660"/>
        <item x="425"/>
        <item x="426"/>
        <item x="427"/>
        <item x="661"/>
        <item x="870"/>
        <item x="428"/>
        <item x="197"/>
        <item x="871"/>
        <item x="872"/>
        <item x="873"/>
        <item x="198"/>
        <item x="874"/>
        <item x="875"/>
        <item x="429"/>
        <item x="876"/>
        <item x="199"/>
        <item x="662"/>
        <item x="877"/>
        <item x="200"/>
        <item x="430"/>
        <item x="431"/>
        <item x="878"/>
        <item x="663"/>
        <item x="201"/>
        <item x="879"/>
        <item x="432"/>
        <item x="202"/>
        <item x="203"/>
        <item x="664"/>
        <item x="433"/>
        <item x="665"/>
        <item x="666"/>
        <item x="434"/>
        <item x="204"/>
        <item x="435"/>
        <item x="436"/>
        <item x="667"/>
        <item x="205"/>
        <item x="206"/>
        <item x="880"/>
        <item x="668"/>
        <item x="207"/>
        <item x="437"/>
        <item x="881"/>
        <item x="438"/>
        <item x="208"/>
        <item x="439"/>
        <item x="440"/>
        <item x="209"/>
        <item x="441"/>
        <item x="442"/>
        <item x="443"/>
        <item x="882"/>
        <item x="669"/>
        <item x="210"/>
        <item x="211"/>
        <item x="444"/>
        <item x="883"/>
        <item x="445"/>
        <item x="670"/>
        <item x="884"/>
        <item x="885"/>
        <item x="446"/>
        <item x="671"/>
        <item x="886"/>
        <item x="887"/>
        <item x="888"/>
        <item x="447"/>
        <item x="448"/>
        <item x="672"/>
        <item x="889"/>
        <item x="890"/>
        <item x="212"/>
        <item x="449"/>
        <item x="450"/>
        <item x="451"/>
        <item x="673"/>
        <item x="674"/>
        <item x="213"/>
        <item x="214"/>
        <item x="675"/>
        <item x="215"/>
        <item x="216"/>
        <item x="217"/>
        <item x="676"/>
        <item x="677"/>
        <item x="218"/>
        <item x="891"/>
        <item x="452"/>
        <item x="453"/>
        <item x="892"/>
        <item x="219"/>
        <item x="678"/>
        <item x="220"/>
        <item x="893"/>
        <item x="221"/>
        <item x="222"/>
        <item x="894"/>
        <item x="895"/>
        <item x="896"/>
        <item x="897"/>
        <item x="898"/>
        <item t="default"/>
      </items>
    </pivotField>
    <pivotField axis="axisRow" showAll="0" measureFilter="1" sortType="ascending">
      <items count="14">
        <item x="9"/>
        <item x="10"/>
        <item x="6"/>
        <item x="12"/>
        <item x="4"/>
        <item x="1"/>
        <item x="11"/>
        <item x="7"/>
        <item x="3"/>
        <item x="8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6">
    <i>
      <x v="7"/>
    </i>
    <i>
      <x v="5"/>
    </i>
    <i>
      <x v="10"/>
    </i>
    <i>
      <x v="2"/>
    </i>
    <i>
      <x v="12"/>
    </i>
    <i t="grand">
      <x/>
    </i>
  </rowItems>
  <colItems count="1">
    <i/>
  </colItems>
  <dataFields count="1">
    <dataField name="Сумма по полю количество единиц товара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A30C9-FB06-46C6-9682-1A476CA56CFB}" name="Сводная таблица34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L88:M98" firstHeaderRow="1" firstDataRow="1" firstDataCol="1"/>
  <pivotFields count="9">
    <pivotField numFmtId="22" showAll="0">
      <items count="900">
        <item x="0"/>
        <item x="223"/>
        <item x="679"/>
        <item x="680"/>
        <item x="681"/>
        <item x="1"/>
        <item x="2"/>
        <item x="224"/>
        <item x="3"/>
        <item x="225"/>
        <item x="682"/>
        <item x="4"/>
        <item x="454"/>
        <item x="226"/>
        <item x="5"/>
        <item x="227"/>
        <item x="228"/>
        <item x="455"/>
        <item x="456"/>
        <item x="457"/>
        <item x="6"/>
        <item x="683"/>
        <item x="229"/>
        <item x="458"/>
        <item x="7"/>
        <item x="684"/>
        <item x="459"/>
        <item x="8"/>
        <item x="230"/>
        <item x="460"/>
        <item x="461"/>
        <item x="231"/>
        <item x="685"/>
        <item x="462"/>
        <item x="463"/>
        <item x="464"/>
        <item x="232"/>
        <item x="233"/>
        <item x="9"/>
        <item x="465"/>
        <item x="466"/>
        <item x="686"/>
        <item x="10"/>
        <item x="11"/>
        <item x="12"/>
        <item x="234"/>
        <item x="13"/>
        <item x="467"/>
        <item x="468"/>
        <item x="235"/>
        <item x="687"/>
        <item x="236"/>
        <item x="14"/>
        <item x="688"/>
        <item x="689"/>
        <item x="237"/>
        <item x="238"/>
        <item x="469"/>
        <item x="470"/>
        <item x="471"/>
        <item x="239"/>
        <item x="240"/>
        <item x="15"/>
        <item x="690"/>
        <item x="691"/>
        <item x="472"/>
        <item x="473"/>
        <item x="241"/>
        <item x="692"/>
        <item x="16"/>
        <item x="693"/>
        <item x="17"/>
        <item x="242"/>
        <item x="18"/>
        <item x="243"/>
        <item x="474"/>
        <item x="19"/>
        <item x="694"/>
        <item x="475"/>
        <item x="476"/>
        <item x="477"/>
        <item x="20"/>
        <item x="244"/>
        <item x="245"/>
        <item x="21"/>
        <item x="22"/>
        <item x="478"/>
        <item x="695"/>
        <item x="23"/>
        <item x="479"/>
        <item x="480"/>
        <item x="246"/>
        <item x="696"/>
        <item x="481"/>
        <item x="697"/>
        <item x="482"/>
        <item x="24"/>
        <item x="483"/>
        <item x="698"/>
        <item x="484"/>
        <item x="25"/>
        <item x="26"/>
        <item x="699"/>
        <item x="700"/>
        <item x="485"/>
        <item x="27"/>
        <item x="701"/>
        <item x="247"/>
        <item x="28"/>
        <item x="702"/>
        <item x="248"/>
        <item x="29"/>
        <item x="486"/>
        <item x="249"/>
        <item x="250"/>
        <item x="703"/>
        <item x="30"/>
        <item x="31"/>
        <item x="251"/>
        <item x="487"/>
        <item x="252"/>
        <item x="253"/>
        <item x="32"/>
        <item x="33"/>
        <item x="488"/>
        <item x="704"/>
        <item x="705"/>
        <item x="489"/>
        <item x="34"/>
        <item x="490"/>
        <item x="706"/>
        <item x="491"/>
        <item x="707"/>
        <item x="35"/>
        <item x="36"/>
        <item x="708"/>
        <item x="492"/>
        <item x="254"/>
        <item x="255"/>
        <item x="709"/>
        <item x="37"/>
        <item x="710"/>
        <item x="711"/>
        <item x="256"/>
        <item x="257"/>
        <item x="38"/>
        <item x="493"/>
        <item x="494"/>
        <item x="258"/>
        <item x="259"/>
        <item x="260"/>
        <item x="261"/>
        <item x="712"/>
        <item x="262"/>
        <item x="713"/>
        <item x="495"/>
        <item x="39"/>
        <item x="263"/>
        <item x="40"/>
        <item x="496"/>
        <item x="497"/>
        <item x="714"/>
        <item x="41"/>
        <item x="264"/>
        <item x="715"/>
        <item x="42"/>
        <item x="43"/>
        <item x="265"/>
        <item x="44"/>
        <item x="266"/>
        <item x="267"/>
        <item x="268"/>
        <item x="498"/>
        <item x="716"/>
        <item x="717"/>
        <item x="499"/>
        <item x="500"/>
        <item x="718"/>
        <item x="719"/>
        <item x="45"/>
        <item x="720"/>
        <item x="501"/>
        <item x="46"/>
        <item x="502"/>
        <item x="47"/>
        <item x="721"/>
        <item x="503"/>
        <item x="722"/>
        <item x="723"/>
        <item x="504"/>
        <item x="48"/>
        <item x="269"/>
        <item x="270"/>
        <item x="724"/>
        <item x="725"/>
        <item x="505"/>
        <item x="506"/>
        <item x="49"/>
        <item x="50"/>
        <item x="51"/>
        <item x="507"/>
        <item x="726"/>
        <item x="52"/>
        <item x="271"/>
        <item x="272"/>
        <item x="53"/>
        <item x="54"/>
        <item x="727"/>
        <item x="55"/>
        <item x="728"/>
        <item x="729"/>
        <item x="56"/>
        <item x="508"/>
        <item x="57"/>
        <item x="58"/>
        <item x="730"/>
        <item x="731"/>
        <item x="509"/>
        <item x="273"/>
        <item x="274"/>
        <item x="59"/>
        <item x="732"/>
        <item x="275"/>
        <item x="510"/>
        <item x="511"/>
        <item x="60"/>
        <item x="512"/>
        <item x="276"/>
        <item x="277"/>
        <item x="61"/>
        <item x="513"/>
        <item x="278"/>
        <item x="62"/>
        <item x="279"/>
        <item x="514"/>
        <item x="280"/>
        <item x="733"/>
        <item x="63"/>
        <item x="515"/>
        <item x="64"/>
        <item x="734"/>
        <item x="65"/>
        <item x="66"/>
        <item x="735"/>
        <item x="736"/>
        <item x="67"/>
        <item x="281"/>
        <item x="737"/>
        <item x="68"/>
        <item x="516"/>
        <item x="517"/>
        <item x="518"/>
        <item x="519"/>
        <item x="282"/>
        <item x="738"/>
        <item x="283"/>
        <item x="284"/>
        <item x="520"/>
        <item x="69"/>
        <item x="285"/>
        <item x="521"/>
        <item x="286"/>
        <item x="739"/>
        <item x="522"/>
        <item x="287"/>
        <item x="523"/>
        <item x="70"/>
        <item x="71"/>
        <item x="740"/>
        <item x="288"/>
        <item x="289"/>
        <item x="290"/>
        <item x="524"/>
        <item x="525"/>
        <item x="526"/>
        <item x="291"/>
        <item x="292"/>
        <item x="527"/>
        <item x="293"/>
        <item x="741"/>
        <item x="528"/>
        <item x="529"/>
        <item x="742"/>
        <item x="72"/>
        <item x="743"/>
        <item x="530"/>
        <item x="744"/>
        <item x="294"/>
        <item x="745"/>
        <item x="295"/>
        <item x="531"/>
        <item x="73"/>
        <item x="74"/>
        <item x="532"/>
        <item x="296"/>
        <item x="746"/>
        <item x="533"/>
        <item x="75"/>
        <item x="76"/>
        <item x="77"/>
        <item x="78"/>
        <item x="297"/>
        <item x="747"/>
        <item x="748"/>
        <item x="79"/>
        <item x="298"/>
        <item x="299"/>
        <item x="300"/>
        <item x="749"/>
        <item x="301"/>
        <item x="534"/>
        <item x="750"/>
        <item x="80"/>
        <item x="535"/>
        <item x="81"/>
        <item x="751"/>
        <item x="302"/>
        <item x="752"/>
        <item x="536"/>
        <item x="303"/>
        <item x="537"/>
        <item x="82"/>
        <item x="83"/>
        <item x="304"/>
        <item x="305"/>
        <item x="84"/>
        <item x="753"/>
        <item x="538"/>
        <item x="306"/>
        <item x="539"/>
        <item x="85"/>
        <item x="754"/>
        <item x="86"/>
        <item x="755"/>
        <item x="307"/>
        <item x="308"/>
        <item x="540"/>
        <item x="756"/>
        <item x="309"/>
        <item x="310"/>
        <item x="87"/>
        <item x="541"/>
        <item x="757"/>
        <item x="542"/>
        <item x="543"/>
        <item x="88"/>
        <item x="89"/>
        <item x="544"/>
        <item x="90"/>
        <item x="758"/>
        <item x="311"/>
        <item x="312"/>
        <item x="759"/>
        <item x="760"/>
        <item x="313"/>
        <item x="91"/>
        <item x="545"/>
        <item x="92"/>
        <item x="546"/>
        <item x="761"/>
        <item x="762"/>
        <item x="547"/>
        <item x="93"/>
        <item x="94"/>
        <item x="95"/>
        <item x="314"/>
        <item x="763"/>
        <item x="315"/>
        <item x="96"/>
        <item x="316"/>
        <item x="317"/>
        <item x="97"/>
        <item x="764"/>
        <item x="318"/>
        <item x="765"/>
        <item x="548"/>
        <item x="766"/>
        <item x="98"/>
        <item x="767"/>
        <item x="768"/>
        <item x="769"/>
        <item x="319"/>
        <item x="99"/>
        <item x="320"/>
        <item x="100"/>
        <item x="101"/>
        <item x="321"/>
        <item x="549"/>
        <item x="550"/>
        <item x="551"/>
        <item x="102"/>
        <item x="322"/>
        <item x="323"/>
        <item x="103"/>
        <item x="324"/>
        <item x="770"/>
        <item x="552"/>
        <item x="771"/>
        <item x="104"/>
        <item x="772"/>
        <item x="553"/>
        <item x="773"/>
        <item x="325"/>
        <item x="554"/>
        <item x="326"/>
        <item x="555"/>
        <item x="105"/>
        <item x="106"/>
        <item x="107"/>
        <item x="108"/>
        <item x="327"/>
        <item x="328"/>
        <item x="556"/>
        <item x="329"/>
        <item x="774"/>
        <item x="775"/>
        <item x="109"/>
        <item x="776"/>
        <item x="110"/>
        <item x="557"/>
        <item x="111"/>
        <item x="330"/>
        <item x="558"/>
        <item x="559"/>
        <item x="331"/>
        <item x="332"/>
        <item x="560"/>
        <item x="777"/>
        <item x="112"/>
        <item x="561"/>
        <item x="333"/>
        <item x="334"/>
        <item x="113"/>
        <item x="562"/>
        <item x="563"/>
        <item x="335"/>
        <item x="114"/>
        <item x="778"/>
        <item x="115"/>
        <item x="336"/>
        <item x="779"/>
        <item x="564"/>
        <item x="780"/>
        <item x="781"/>
        <item x="337"/>
        <item x="565"/>
        <item x="782"/>
        <item x="338"/>
        <item x="783"/>
        <item x="784"/>
        <item x="566"/>
        <item x="339"/>
        <item x="567"/>
        <item x="340"/>
        <item x="116"/>
        <item x="117"/>
        <item x="785"/>
        <item x="118"/>
        <item x="568"/>
        <item x="119"/>
        <item x="120"/>
        <item x="121"/>
        <item x="341"/>
        <item x="342"/>
        <item x="786"/>
        <item x="787"/>
        <item x="788"/>
        <item x="343"/>
        <item x="569"/>
        <item x="789"/>
        <item x="122"/>
        <item x="790"/>
        <item x="123"/>
        <item x="570"/>
        <item x="791"/>
        <item x="571"/>
        <item x="792"/>
        <item x="124"/>
        <item x="125"/>
        <item x="344"/>
        <item x="572"/>
        <item x="126"/>
        <item x="793"/>
        <item x="345"/>
        <item x="794"/>
        <item x="795"/>
        <item x="346"/>
        <item x="127"/>
        <item x="573"/>
        <item x="796"/>
        <item x="128"/>
        <item x="129"/>
        <item x="797"/>
        <item x="130"/>
        <item x="347"/>
        <item x="574"/>
        <item x="575"/>
        <item x="348"/>
        <item x="576"/>
        <item x="131"/>
        <item x="132"/>
        <item x="577"/>
        <item x="798"/>
        <item x="578"/>
        <item x="349"/>
        <item x="133"/>
        <item x="579"/>
        <item x="350"/>
        <item x="134"/>
        <item x="580"/>
        <item x="351"/>
        <item x="352"/>
        <item x="799"/>
        <item x="135"/>
        <item x="136"/>
        <item x="581"/>
        <item x="137"/>
        <item x="800"/>
        <item x="138"/>
        <item x="139"/>
        <item x="801"/>
        <item x="582"/>
        <item x="583"/>
        <item x="353"/>
        <item x="354"/>
        <item x="584"/>
        <item x="140"/>
        <item x="141"/>
        <item x="802"/>
        <item x="355"/>
        <item x="142"/>
        <item x="803"/>
        <item x="143"/>
        <item x="585"/>
        <item x="586"/>
        <item x="804"/>
        <item x="144"/>
        <item x="805"/>
        <item x="356"/>
        <item x="357"/>
        <item x="145"/>
        <item x="806"/>
        <item x="146"/>
        <item x="587"/>
        <item x="588"/>
        <item x="147"/>
        <item x="148"/>
        <item x="358"/>
        <item x="359"/>
        <item x="807"/>
        <item x="808"/>
        <item x="149"/>
        <item x="150"/>
        <item x="589"/>
        <item x="809"/>
        <item x="810"/>
        <item x="590"/>
        <item x="591"/>
        <item x="151"/>
        <item x="592"/>
        <item x="360"/>
        <item x="152"/>
        <item x="593"/>
        <item x="594"/>
        <item x="595"/>
        <item x="361"/>
        <item x="153"/>
        <item x="596"/>
        <item x="811"/>
        <item x="154"/>
        <item x="597"/>
        <item x="812"/>
        <item x="598"/>
        <item x="599"/>
        <item x="813"/>
        <item x="814"/>
        <item x="600"/>
        <item x="815"/>
        <item x="816"/>
        <item x="817"/>
        <item x="818"/>
        <item x="155"/>
        <item x="156"/>
        <item x="819"/>
        <item x="157"/>
        <item x="601"/>
        <item x="820"/>
        <item x="362"/>
        <item x="363"/>
        <item x="364"/>
        <item x="158"/>
        <item x="821"/>
        <item x="159"/>
        <item x="365"/>
        <item x="160"/>
        <item x="602"/>
        <item x="822"/>
        <item x="823"/>
        <item x="366"/>
        <item x="824"/>
        <item x="825"/>
        <item x="826"/>
        <item x="161"/>
        <item x="603"/>
        <item x="367"/>
        <item x="827"/>
        <item x="604"/>
        <item x="605"/>
        <item x="828"/>
        <item x="829"/>
        <item x="606"/>
        <item x="368"/>
        <item x="369"/>
        <item x="370"/>
        <item x="162"/>
        <item x="607"/>
        <item x="371"/>
        <item x="372"/>
        <item x="163"/>
        <item x="164"/>
        <item x="373"/>
        <item x="374"/>
        <item x="375"/>
        <item x="165"/>
        <item x="166"/>
        <item x="376"/>
        <item x="377"/>
        <item x="608"/>
        <item x="378"/>
        <item x="379"/>
        <item x="380"/>
        <item x="609"/>
        <item x="610"/>
        <item x="381"/>
        <item x="382"/>
        <item x="830"/>
        <item x="611"/>
        <item x="612"/>
        <item x="383"/>
        <item x="167"/>
        <item x="613"/>
        <item x="384"/>
        <item x="168"/>
        <item x="169"/>
        <item x="614"/>
        <item x="170"/>
        <item x="615"/>
        <item x="385"/>
        <item x="616"/>
        <item x="617"/>
        <item x="618"/>
        <item x="831"/>
        <item x="171"/>
        <item x="172"/>
        <item x="832"/>
        <item x="619"/>
        <item x="386"/>
        <item x="387"/>
        <item x="388"/>
        <item x="389"/>
        <item x="173"/>
        <item x="833"/>
        <item x="620"/>
        <item x="834"/>
        <item x="621"/>
        <item x="622"/>
        <item x="174"/>
        <item x="623"/>
        <item x="835"/>
        <item x="624"/>
        <item x="836"/>
        <item x="625"/>
        <item x="175"/>
        <item x="390"/>
        <item x="391"/>
        <item x="626"/>
        <item x="392"/>
        <item x="837"/>
        <item x="393"/>
        <item x="627"/>
        <item x="394"/>
        <item x="395"/>
        <item x="838"/>
        <item x="839"/>
        <item x="628"/>
        <item x="176"/>
        <item x="396"/>
        <item x="397"/>
        <item x="398"/>
        <item x="177"/>
        <item x="178"/>
        <item x="629"/>
        <item x="840"/>
        <item x="841"/>
        <item x="842"/>
        <item x="843"/>
        <item x="630"/>
        <item x="179"/>
        <item x="844"/>
        <item x="845"/>
        <item x="399"/>
        <item x="846"/>
        <item x="400"/>
        <item x="847"/>
        <item x="631"/>
        <item x="401"/>
        <item x="632"/>
        <item x="633"/>
        <item x="848"/>
        <item x="180"/>
        <item x="634"/>
        <item x="181"/>
        <item x="402"/>
        <item x="635"/>
        <item x="403"/>
        <item x="849"/>
        <item x="850"/>
        <item x="182"/>
        <item x="851"/>
        <item x="636"/>
        <item x="183"/>
        <item x="404"/>
        <item x="637"/>
        <item x="405"/>
        <item x="852"/>
        <item x="853"/>
        <item x="406"/>
        <item x="638"/>
        <item x="854"/>
        <item x="639"/>
        <item x="184"/>
        <item x="640"/>
        <item x="185"/>
        <item x="641"/>
        <item x="642"/>
        <item x="186"/>
        <item x="407"/>
        <item x="855"/>
        <item x="856"/>
        <item x="408"/>
        <item x="643"/>
        <item x="409"/>
        <item x="857"/>
        <item x="858"/>
        <item x="859"/>
        <item x="410"/>
        <item x="860"/>
        <item x="644"/>
        <item x="187"/>
        <item x="645"/>
        <item x="411"/>
        <item x="861"/>
        <item x="412"/>
        <item x="646"/>
        <item x="188"/>
        <item x="862"/>
        <item x="189"/>
        <item x="647"/>
        <item x="648"/>
        <item x="649"/>
        <item x="190"/>
        <item x="863"/>
        <item x="191"/>
        <item x="650"/>
        <item x="413"/>
        <item x="414"/>
        <item x="415"/>
        <item x="192"/>
        <item x="651"/>
        <item x="652"/>
        <item x="653"/>
        <item x="193"/>
        <item x="416"/>
        <item x="864"/>
        <item x="417"/>
        <item x="418"/>
        <item x="419"/>
        <item x="654"/>
        <item x="865"/>
        <item x="420"/>
        <item x="655"/>
        <item x="421"/>
        <item x="422"/>
        <item x="423"/>
        <item x="656"/>
        <item x="194"/>
        <item x="657"/>
        <item x="866"/>
        <item x="424"/>
        <item x="195"/>
        <item x="196"/>
        <item x="658"/>
        <item x="867"/>
        <item x="868"/>
        <item x="659"/>
        <item x="869"/>
        <item x="660"/>
        <item x="425"/>
        <item x="426"/>
        <item x="427"/>
        <item x="661"/>
        <item x="870"/>
        <item x="428"/>
        <item x="197"/>
        <item x="871"/>
        <item x="872"/>
        <item x="873"/>
        <item x="198"/>
        <item x="874"/>
        <item x="875"/>
        <item x="429"/>
        <item x="876"/>
        <item x="199"/>
        <item x="662"/>
        <item x="877"/>
        <item x="200"/>
        <item x="430"/>
        <item x="431"/>
        <item x="878"/>
        <item x="663"/>
        <item x="201"/>
        <item x="879"/>
        <item x="432"/>
        <item x="202"/>
        <item x="203"/>
        <item x="664"/>
        <item x="433"/>
        <item x="665"/>
        <item x="666"/>
        <item x="434"/>
        <item x="204"/>
        <item x="435"/>
        <item x="436"/>
        <item x="667"/>
        <item x="205"/>
        <item x="206"/>
        <item x="880"/>
        <item x="668"/>
        <item x="207"/>
        <item x="437"/>
        <item x="881"/>
        <item x="438"/>
        <item x="208"/>
        <item x="439"/>
        <item x="440"/>
        <item x="209"/>
        <item x="441"/>
        <item x="442"/>
        <item x="443"/>
        <item x="882"/>
        <item x="669"/>
        <item x="210"/>
        <item x="211"/>
        <item x="444"/>
        <item x="883"/>
        <item x="445"/>
        <item x="670"/>
        <item x="884"/>
        <item x="885"/>
        <item x="446"/>
        <item x="671"/>
        <item x="886"/>
        <item x="887"/>
        <item x="888"/>
        <item x="447"/>
        <item x="448"/>
        <item x="672"/>
        <item x="889"/>
        <item x="890"/>
        <item x="212"/>
        <item x="449"/>
        <item x="450"/>
        <item x="451"/>
        <item x="673"/>
        <item x="674"/>
        <item x="213"/>
        <item x="214"/>
        <item x="675"/>
        <item x="215"/>
        <item x="216"/>
        <item x="217"/>
        <item x="676"/>
        <item x="677"/>
        <item x="218"/>
        <item x="891"/>
        <item x="452"/>
        <item x="453"/>
        <item x="892"/>
        <item x="219"/>
        <item x="678"/>
        <item x="220"/>
        <item x="893"/>
        <item x="221"/>
        <item x="222"/>
        <item x="894"/>
        <item x="895"/>
        <item x="896"/>
        <item x="897"/>
        <item x="898"/>
        <item t="default"/>
      </items>
    </pivotField>
    <pivotField showAll="0"/>
    <pivotField showAll="0"/>
    <pivotField dataField="1" showAll="0"/>
    <pivotField axis="axisRow" showAll="0">
      <items count="10">
        <item x="7"/>
        <item x="4"/>
        <item x="2"/>
        <item x="6"/>
        <item x="0"/>
        <item x="1"/>
        <item x="3"/>
        <item x="8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умма по полю выручка" fld="3" showDataAs="percentOfTotal" baseField="4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AD82F-38F7-49E5-A274-B743E5F809D4}" name="Сводная таблица33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N52:O57" firstHeaderRow="1" firstDataRow="1" firstDataCol="1"/>
  <pivotFields count="9">
    <pivotField numFmtId="22" showAll="0">
      <items count="900">
        <item x="0"/>
        <item x="223"/>
        <item x="679"/>
        <item x="680"/>
        <item x="681"/>
        <item x="1"/>
        <item x="2"/>
        <item x="224"/>
        <item x="3"/>
        <item x="225"/>
        <item x="682"/>
        <item x="4"/>
        <item x="454"/>
        <item x="226"/>
        <item x="5"/>
        <item x="227"/>
        <item x="228"/>
        <item x="455"/>
        <item x="456"/>
        <item x="457"/>
        <item x="6"/>
        <item x="683"/>
        <item x="229"/>
        <item x="458"/>
        <item x="7"/>
        <item x="684"/>
        <item x="459"/>
        <item x="8"/>
        <item x="230"/>
        <item x="460"/>
        <item x="461"/>
        <item x="231"/>
        <item x="685"/>
        <item x="462"/>
        <item x="463"/>
        <item x="464"/>
        <item x="232"/>
        <item x="233"/>
        <item x="9"/>
        <item x="465"/>
        <item x="466"/>
        <item x="686"/>
        <item x="10"/>
        <item x="11"/>
        <item x="12"/>
        <item x="234"/>
        <item x="13"/>
        <item x="467"/>
        <item x="468"/>
        <item x="235"/>
        <item x="687"/>
        <item x="236"/>
        <item x="14"/>
        <item x="688"/>
        <item x="689"/>
        <item x="237"/>
        <item x="238"/>
        <item x="469"/>
        <item x="470"/>
        <item x="471"/>
        <item x="239"/>
        <item x="240"/>
        <item x="15"/>
        <item x="690"/>
        <item x="691"/>
        <item x="472"/>
        <item x="473"/>
        <item x="241"/>
        <item x="692"/>
        <item x="16"/>
        <item x="693"/>
        <item x="17"/>
        <item x="242"/>
        <item x="18"/>
        <item x="243"/>
        <item x="474"/>
        <item x="19"/>
        <item x="694"/>
        <item x="475"/>
        <item x="476"/>
        <item x="477"/>
        <item x="20"/>
        <item x="244"/>
        <item x="245"/>
        <item x="21"/>
        <item x="22"/>
        <item x="478"/>
        <item x="695"/>
        <item x="23"/>
        <item x="479"/>
        <item x="480"/>
        <item x="246"/>
        <item x="696"/>
        <item x="481"/>
        <item x="697"/>
        <item x="482"/>
        <item x="24"/>
        <item x="483"/>
        <item x="698"/>
        <item x="484"/>
        <item x="25"/>
        <item x="26"/>
        <item x="699"/>
        <item x="700"/>
        <item x="485"/>
        <item x="27"/>
        <item x="701"/>
        <item x="247"/>
        <item x="28"/>
        <item x="702"/>
        <item x="248"/>
        <item x="29"/>
        <item x="486"/>
        <item x="249"/>
        <item x="250"/>
        <item x="703"/>
        <item x="30"/>
        <item x="31"/>
        <item x="251"/>
        <item x="487"/>
        <item x="252"/>
        <item x="253"/>
        <item x="32"/>
        <item x="33"/>
        <item x="488"/>
        <item x="704"/>
        <item x="705"/>
        <item x="489"/>
        <item x="34"/>
        <item x="490"/>
        <item x="706"/>
        <item x="491"/>
        <item x="707"/>
        <item x="35"/>
        <item x="36"/>
        <item x="708"/>
        <item x="492"/>
        <item x="254"/>
        <item x="255"/>
        <item x="709"/>
        <item x="37"/>
        <item x="710"/>
        <item x="711"/>
        <item x="256"/>
        <item x="257"/>
        <item x="38"/>
        <item x="493"/>
        <item x="494"/>
        <item x="258"/>
        <item x="259"/>
        <item x="260"/>
        <item x="261"/>
        <item x="712"/>
        <item x="262"/>
        <item x="713"/>
        <item x="495"/>
        <item x="39"/>
        <item x="263"/>
        <item x="40"/>
        <item x="496"/>
        <item x="497"/>
        <item x="714"/>
        <item x="41"/>
        <item x="264"/>
        <item x="715"/>
        <item x="42"/>
        <item x="43"/>
        <item x="265"/>
        <item x="44"/>
        <item x="266"/>
        <item x="267"/>
        <item x="268"/>
        <item x="498"/>
        <item x="716"/>
        <item x="717"/>
        <item x="499"/>
        <item x="500"/>
        <item x="718"/>
        <item x="719"/>
        <item x="45"/>
        <item x="720"/>
        <item x="501"/>
        <item x="46"/>
        <item x="502"/>
        <item x="47"/>
        <item x="721"/>
        <item x="503"/>
        <item x="722"/>
        <item x="723"/>
        <item x="504"/>
        <item x="48"/>
        <item x="269"/>
        <item x="270"/>
        <item x="724"/>
        <item x="725"/>
        <item x="505"/>
        <item x="506"/>
        <item x="49"/>
        <item x="50"/>
        <item x="51"/>
        <item x="507"/>
        <item x="726"/>
        <item x="52"/>
        <item x="271"/>
        <item x="272"/>
        <item x="53"/>
        <item x="54"/>
        <item x="727"/>
        <item x="55"/>
        <item x="728"/>
        <item x="729"/>
        <item x="56"/>
        <item x="508"/>
        <item x="57"/>
        <item x="58"/>
        <item x="730"/>
        <item x="731"/>
        <item x="509"/>
        <item x="273"/>
        <item x="274"/>
        <item x="59"/>
        <item x="732"/>
        <item x="275"/>
        <item x="510"/>
        <item x="511"/>
        <item x="60"/>
        <item x="512"/>
        <item x="276"/>
        <item x="277"/>
        <item x="61"/>
        <item x="513"/>
        <item x="278"/>
        <item x="62"/>
        <item x="279"/>
        <item x="514"/>
        <item x="280"/>
        <item x="733"/>
        <item x="63"/>
        <item x="515"/>
        <item x="64"/>
        <item x="734"/>
        <item x="65"/>
        <item x="66"/>
        <item x="735"/>
        <item x="736"/>
        <item x="67"/>
        <item x="281"/>
        <item x="737"/>
        <item x="68"/>
        <item x="516"/>
        <item x="517"/>
        <item x="518"/>
        <item x="519"/>
        <item x="282"/>
        <item x="738"/>
        <item x="283"/>
        <item x="284"/>
        <item x="520"/>
        <item x="69"/>
        <item x="285"/>
        <item x="521"/>
        <item x="286"/>
        <item x="739"/>
        <item x="522"/>
        <item x="287"/>
        <item x="523"/>
        <item x="70"/>
        <item x="71"/>
        <item x="740"/>
        <item x="288"/>
        <item x="289"/>
        <item x="290"/>
        <item x="524"/>
        <item x="525"/>
        <item x="526"/>
        <item x="291"/>
        <item x="292"/>
        <item x="527"/>
        <item x="293"/>
        <item x="741"/>
        <item x="528"/>
        <item x="529"/>
        <item x="742"/>
        <item x="72"/>
        <item x="743"/>
        <item x="530"/>
        <item x="744"/>
        <item x="294"/>
        <item x="745"/>
        <item x="295"/>
        <item x="531"/>
        <item x="73"/>
        <item x="74"/>
        <item x="532"/>
        <item x="296"/>
        <item x="746"/>
        <item x="533"/>
        <item x="75"/>
        <item x="76"/>
        <item x="77"/>
        <item x="78"/>
        <item x="297"/>
        <item x="747"/>
        <item x="748"/>
        <item x="79"/>
        <item x="298"/>
        <item x="299"/>
        <item x="300"/>
        <item x="749"/>
        <item x="301"/>
        <item x="534"/>
        <item x="750"/>
        <item x="80"/>
        <item x="535"/>
        <item x="81"/>
        <item x="751"/>
        <item x="302"/>
        <item x="752"/>
        <item x="536"/>
        <item x="303"/>
        <item x="537"/>
        <item x="82"/>
        <item x="83"/>
        <item x="304"/>
        <item x="305"/>
        <item x="84"/>
        <item x="753"/>
        <item x="538"/>
        <item x="306"/>
        <item x="539"/>
        <item x="85"/>
        <item x="754"/>
        <item x="86"/>
        <item x="755"/>
        <item x="307"/>
        <item x="308"/>
        <item x="540"/>
        <item x="756"/>
        <item x="309"/>
        <item x="310"/>
        <item x="87"/>
        <item x="541"/>
        <item x="757"/>
        <item x="542"/>
        <item x="543"/>
        <item x="88"/>
        <item x="89"/>
        <item x="544"/>
        <item x="90"/>
        <item x="758"/>
        <item x="311"/>
        <item x="312"/>
        <item x="759"/>
        <item x="760"/>
        <item x="313"/>
        <item x="91"/>
        <item x="545"/>
        <item x="92"/>
        <item x="546"/>
        <item x="761"/>
        <item x="762"/>
        <item x="547"/>
        <item x="93"/>
        <item x="94"/>
        <item x="95"/>
        <item x="314"/>
        <item x="763"/>
        <item x="315"/>
        <item x="96"/>
        <item x="316"/>
        <item x="317"/>
        <item x="97"/>
        <item x="764"/>
        <item x="318"/>
        <item x="765"/>
        <item x="548"/>
        <item x="766"/>
        <item x="98"/>
        <item x="767"/>
        <item x="768"/>
        <item x="769"/>
        <item x="319"/>
        <item x="99"/>
        <item x="320"/>
        <item x="100"/>
        <item x="101"/>
        <item x="321"/>
        <item x="549"/>
        <item x="550"/>
        <item x="551"/>
        <item x="102"/>
        <item x="322"/>
        <item x="323"/>
        <item x="103"/>
        <item x="324"/>
        <item x="770"/>
        <item x="552"/>
        <item x="771"/>
        <item x="104"/>
        <item x="772"/>
        <item x="553"/>
        <item x="773"/>
        <item x="325"/>
        <item x="554"/>
        <item x="326"/>
        <item x="555"/>
        <item x="105"/>
        <item x="106"/>
        <item x="107"/>
        <item x="108"/>
        <item x="327"/>
        <item x="328"/>
        <item x="556"/>
        <item x="329"/>
        <item x="774"/>
        <item x="775"/>
        <item x="109"/>
        <item x="776"/>
        <item x="110"/>
        <item x="557"/>
        <item x="111"/>
        <item x="330"/>
        <item x="558"/>
        <item x="559"/>
        <item x="331"/>
        <item x="332"/>
        <item x="560"/>
        <item x="777"/>
        <item x="112"/>
        <item x="561"/>
        <item x="333"/>
        <item x="334"/>
        <item x="113"/>
        <item x="562"/>
        <item x="563"/>
        <item x="335"/>
        <item x="114"/>
        <item x="778"/>
        <item x="115"/>
        <item x="336"/>
        <item x="779"/>
        <item x="564"/>
        <item x="780"/>
        <item x="781"/>
        <item x="337"/>
        <item x="565"/>
        <item x="782"/>
        <item x="338"/>
        <item x="783"/>
        <item x="784"/>
        <item x="566"/>
        <item x="339"/>
        <item x="567"/>
        <item x="340"/>
        <item x="116"/>
        <item x="117"/>
        <item x="785"/>
        <item x="118"/>
        <item x="568"/>
        <item x="119"/>
        <item x="120"/>
        <item x="121"/>
        <item x="341"/>
        <item x="342"/>
        <item x="786"/>
        <item x="787"/>
        <item x="788"/>
        <item x="343"/>
        <item x="569"/>
        <item x="789"/>
        <item x="122"/>
        <item x="790"/>
        <item x="123"/>
        <item x="570"/>
        <item x="791"/>
        <item x="571"/>
        <item x="792"/>
        <item x="124"/>
        <item x="125"/>
        <item x="344"/>
        <item x="572"/>
        <item x="126"/>
        <item x="793"/>
        <item x="345"/>
        <item x="794"/>
        <item x="795"/>
        <item x="346"/>
        <item x="127"/>
        <item x="573"/>
        <item x="796"/>
        <item x="128"/>
        <item x="129"/>
        <item x="797"/>
        <item x="130"/>
        <item x="347"/>
        <item x="574"/>
        <item x="575"/>
        <item x="348"/>
        <item x="576"/>
        <item x="131"/>
        <item x="132"/>
        <item x="577"/>
        <item x="798"/>
        <item x="578"/>
        <item x="349"/>
        <item x="133"/>
        <item x="579"/>
        <item x="350"/>
        <item x="134"/>
        <item x="580"/>
        <item x="351"/>
        <item x="352"/>
        <item x="799"/>
        <item x="135"/>
        <item x="136"/>
        <item x="581"/>
        <item x="137"/>
        <item x="800"/>
        <item x="138"/>
        <item x="139"/>
        <item x="801"/>
        <item x="582"/>
        <item x="583"/>
        <item x="353"/>
        <item x="354"/>
        <item x="584"/>
        <item x="140"/>
        <item x="141"/>
        <item x="802"/>
        <item x="355"/>
        <item x="142"/>
        <item x="803"/>
        <item x="143"/>
        <item x="585"/>
        <item x="586"/>
        <item x="804"/>
        <item x="144"/>
        <item x="805"/>
        <item x="356"/>
        <item x="357"/>
        <item x="145"/>
        <item x="806"/>
        <item x="146"/>
        <item x="587"/>
        <item x="588"/>
        <item x="147"/>
        <item x="148"/>
        <item x="358"/>
        <item x="359"/>
        <item x="807"/>
        <item x="808"/>
        <item x="149"/>
        <item x="150"/>
        <item x="589"/>
        <item x="809"/>
        <item x="810"/>
        <item x="590"/>
        <item x="591"/>
        <item x="151"/>
        <item x="592"/>
        <item x="360"/>
        <item x="152"/>
        <item x="593"/>
        <item x="594"/>
        <item x="595"/>
        <item x="361"/>
        <item x="153"/>
        <item x="596"/>
        <item x="811"/>
        <item x="154"/>
        <item x="597"/>
        <item x="812"/>
        <item x="598"/>
        <item x="599"/>
        <item x="813"/>
        <item x="814"/>
        <item x="600"/>
        <item x="815"/>
        <item x="816"/>
        <item x="817"/>
        <item x="818"/>
        <item x="155"/>
        <item x="156"/>
        <item x="819"/>
        <item x="157"/>
        <item x="601"/>
        <item x="820"/>
        <item x="362"/>
        <item x="363"/>
        <item x="364"/>
        <item x="158"/>
        <item x="821"/>
        <item x="159"/>
        <item x="365"/>
        <item x="160"/>
        <item x="602"/>
        <item x="822"/>
        <item x="823"/>
        <item x="366"/>
        <item x="824"/>
        <item x="825"/>
        <item x="826"/>
        <item x="161"/>
        <item x="603"/>
        <item x="367"/>
        <item x="827"/>
        <item x="604"/>
        <item x="605"/>
        <item x="828"/>
        <item x="829"/>
        <item x="606"/>
        <item x="368"/>
        <item x="369"/>
        <item x="370"/>
        <item x="162"/>
        <item x="607"/>
        <item x="371"/>
        <item x="372"/>
        <item x="163"/>
        <item x="164"/>
        <item x="373"/>
        <item x="374"/>
        <item x="375"/>
        <item x="165"/>
        <item x="166"/>
        <item x="376"/>
        <item x="377"/>
        <item x="608"/>
        <item x="378"/>
        <item x="379"/>
        <item x="380"/>
        <item x="609"/>
        <item x="610"/>
        <item x="381"/>
        <item x="382"/>
        <item x="830"/>
        <item x="611"/>
        <item x="612"/>
        <item x="383"/>
        <item x="167"/>
        <item x="613"/>
        <item x="384"/>
        <item x="168"/>
        <item x="169"/>
        <item x="614"/>
        <item x="170"/>
        <item x="615"/>
        <item x="385"/>
        <item x="616"/>
        <item x="617"/>
        <item x="618"/>
        <item x="831"/>
        <item x="171"/>
        <item x="172"/>
        <item x="832"/>
        <item x="619"/>
        <item x="386"/>
        <item x="387"/>
        <item x="388"/>
        <item x="389"/>
        <item x="173"/>
        <item x="833"/>
        <item x="620"/>
        <item x="834"/>
        <item x="621"/>
        <item x="622"/>
        <item x="174"/>
        <item x="623"/>
        <item x="835"/>
        <item x="624"/>
        <item x="836"/>
        <item x="625"/>
        <item x="175"/>
        <item x="390"/>
        <item x="391"/>
        <item x="626"/>
        <item x="392"/>
        <item x="837"/>
        <item x="393"/>
        <item x="627"/>
        <item x="394"/>
        <item x="395"/>
        <item x="838"/>
        <item x="839"/>
        <item x="628"/>
        <item x="176"/>
        <item x="396"/>
        <item x="397"/>
        <item x="398"/>
        <item x="177"/>
        <item x="178"/>
        <item x="629"/>
        <item x="840"/>
        <item x="841"/>
        <item x="842"/>
        <item x="843"/>
        <item x="630"/>
        <item x="179"/>
        <item x="844"/>
        <item x="845"/>
        <item x="399"/>
        <item x="846"/>
        <item x="400"/>
        <item x="847"/>
        <item x="631"/>
        <item x="401"/>
        <item x="632"/>
        <item x="633"/>
        <item x="848"/>
        <item x="180"/>
        <item x="634"/>
        <item x="181"/>
        <item x="402"/>
        <item x="635"/>
        <item x="403"/>
        <item x="849"/>
        <item x="850"/>
        <item x="182"/>
        <item x="851"/>
        <item x="636"/>
        <item x="183"/>
        <item x="404"/>
        <item x="637"/>
        <item x="405"/>
        <item x="852"/>
        <item x="853"/>
        <item x="406"/>
        <item x="638"/>
        <item x="854"/>
        <item x="639"/>
        <item x="184"/>
        <item x="640"/>
        <item x="185"/>
        <item x="641"/>
        <item x="642"/>
        <item x="186"/>
        <item x="407"/>
        <item x="855"/>
        <item x="856"/>
        <item x="408"/>
        <item x="643"/>
        <item x="409"/>
        <item x="857"/>
        <item x="858"/>
        <item x="859"/>
        <item x="410"/>
        <item x="860"/>
        <item x="644"/>
        <item x="187"/>
        <item x="645"/>
        <item x="411"/>
        <item x="861"/>
        <item x="412"/>
        <item x="646"/>
        <item x="188"/>
        <item x="862"/>
        <item x="189"/>
        <item x="647"/>
        <item x="648"/>
        <item x="649"/>
        <item x="190"/>
        <item x="863"/>
        <item x="191"/>
        <item x="650"/>
        <item x="413"/>
        <item x="414"/>
        <item x="415"/>
        <item x="192"/>
        <item x="651"/>
        <item x="652"/>
        <item x="653"/>
        <item x="193"/>
        <item x="416"/>
        <item x="864"/>
        <item x="417"/>
        <item x="418"/>
        <item x="419"/>
        <item x="654"/>
        <item x="865"/>
        <item x="420"/>
        <item x="655"/>
        <item x="421"/>
        <item x="422"/>
        <item x="423"/>
        <item x="656"/>
        <item x="194"/>
        <item x="657"/>
        <item x="866"/>
        <item x="424"/>
        <item x="195"/>
        <item x="196"/>
        <item x="658"/>
        <item x="867"/>
        <item x="868"/>
        <item x="659"/>
        <item x="869"/>
        <item x="660"/>
        <item x="425"/>
        <item x="426"/>
        <item x="427"/>
        <item x="661"/>
        <item x="870"/>
        <item x="428"/>
        <item x="197"/>
        <item x="871"/>
        <item x="872"/>
        <item x="873"/>
        <item x="198"/>
        <item x="874"/>
        <item x="875"/>
        <item x="429"/>
        <item x="876"/>
        <item x="199"/>
        <item x="662"/>
        <item x="877"/>
        <item x="200"/>
        <item x="430"/>
        <item x="431"/>
        <item x="878"/>
        <item x="663"/>
        <item x="201"/>
        <item x="879"/>
        <item x="432"/>
        <item x="202"/>
        <item x="203"/>
        <item x="664"/>
        <item x="433"/>
        <item x="665"/>
        <item x="666"/>
        <item x="434"/>
        <item x="204"/>
        <item x="435"/>
        <item x="436"/>
        <item x="667"/>
        <item x="205"/>
        <item x="206"/>
        <item x="880"/>
        <item x="668"/>
        <item x="207"/>
        <item x="437"/>
        <item x="881"/>
        <item x="438"/>
        <item x="208"/>
        <item x="439"/>
        <item x="440"/>
        <item x="209"/>
        <item x="441"/>
        <item x="442"/>
        <item x="443"/>
        <item x="882"/>
        <item x="669"/>
        <item x="210"/>
        <item x="211"/>
        <item x="444"/>
        <item x="883"/>
        <item x="445"/>
        <item x="670"/>
        <item x="884"/>
        <item x="885"/>
        <item x="446"/>
        <item x="671"/>
        <item x="886"/>
        <item x="887"/>
        <item x="888"/>
        <item x="447"/>
        <item x="448"/>
        <item x="672"/>
        <item x="889"/>
        <item x="890"/>
        <item x="212"/>
        <item x="449"/>
        <item x="450"/>
        <item x="451"/>
        <item x="673"/>
        <item x="674"/>
        <item x="213"/>
        <item x="214"/>
        <item x="675"/>
        <item x="215"/>
        <item x="216"/>
        <item x="217"/>
        <item x="676"/>
        <item x="677"/>
        <item x="218"/>
        <item x="891"/>
        <item x="452"/>
        <item x="453"/>
        <item x="892"/>
        <item x="219"/>
        <item x="678"/>
        <item x="220"/>
        <item x="893"/>
        <item x="221"/>
        <item x="222"/>
        <item x="894"/>
        <item x="895"/>
        <item x="896"/>
        <item x="897"/>
        <item x="898"/>
        <item t="default"/>
      </items>
    </pivotField>
    <pivotField showAll="0">
      <items count="14">
        <item x="9"/>
        <item x="10"/>
        <item x="6"/>
        <item x="12"/>
        <item x="4"/>
        <item x="1"/>
        <item x="11"/>
        <item x="7"/>
        <item x="3"/>
        <item x="8"/>
        <item x="2"/>
        <item x="5"/>
        <item x="0"/>
        <item t="default"/>
      </items>
    </pivotField>
    <pivotField dataField="1" showAll="0"/>
    <pivotField showAll="0"/>
    <pivotField showAll="0"/>
    <pivotField axis="axisRow" showAll="0" sortType="a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5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Сумма по полю количество единиц товара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DB3E-3EB3-4804-A02D-40E34B68177D}" name="Сводная таблица32" cacheId="4" applyNumberFormats="0" applyBorderFormats="0" applyFontFormats="0" applyPatternFormats="0" applyAlignmentFormats="0" applyWidthHeightFormats="1" dataCaption="Значения" grandTotalCaption="Общий_итог" updatedVersion="8" minRefreshableVersion="3" useAutoFormatting="1" itemPrintTitles="1" createdVersion="8" indent="0" outline="1" outlineData="1" multipleFieldFilters="0" chartFormat="6" rowHeaderCaption="Названия_строк">
  <location ref="J1:O9" firstHeaderRow="1" firstDataRow="2" firstDataCol="1"/>
  <pivotFields count="9">
    <pivotField axis="axisRow" numFmtId="22" showAll="0">
      <items count="900">
        <item x="0"/>
        <item x="223"/>
        <item x="679"/>
        <item x="680"/>
        <item x="681"/>
        <item x="1"/>
        <item x="2"/>
        <item x="224"/>
        <item x="3"/>
        <item x="225"/>
        <item x="682"/>
        <item x="4"/>
        <item x="454"/>
        <item x="226"/>
        <item x="5"/>
        <item x="227"/>
        <item x="228"/>
        <item x="455"/>
        <item x="456"/>
        <item x="457"/>
        <item x="6"/>
        <item x="683"/>
        <item x="229"/>
        <item x="458"/>
        <item x="7"/>
        <item x="684"/>
        <item x="459"/>
        <item x="8"/>
        <item x="230"/>
        <item x="460"/>
        <item x="461"/>
        <item x="231"/>
        <item x="685"/>
        <item x="462"/>
        <item x="463"/>
        <item x="464"/>
        <item x="232"/>
        <item x="233"/>
        <item x="9"/>
        <item x="465"/>
        <item x="466"/>
        <item x="686"/>
        <item x="10"/>
        <item x="11"/>
        <item x="12"/>
        <item x="234"/>
        <item x="13"/>
        <item x="467"/>
        <item x="468"/>
        <item x="235"/>
        <item x="687"/>
        <item x="236"/>
        <item x="14"/>
        <item x="688"/>
        <item x="689"/>
        <item x="237"/>
        <item x="238"/>
        <item x="469"/>
        <item x="470"/>
        <item x="471"/>
        <item x="239"/>
        <item x="240"/>
        <item x="15"/>
        <item x="690"/>
        <item x="691"/>
        <item x="472"/>
        <item x="473"/>
        <item x="241"/>
        <item x="692"/>
        <item x="16"/>
        <item x="693"/>
        <item x="17"/>
        <item x="242"/>
        <item x="18"/>
        <item x="243"/>
        <item x="474"/>
        <item x="19"/>
        <item x="694"/>
        <item x="475"/>
        <item x="476"/>
        <item x="477"/>
        <item x="20"/>
        <item x="244"/>
        <item x="245"/>
        <item x="21"/>
        <item x="22"/>
        <item x="478"/>
        <item x="695"/>
        <item x="23"/>
        <item x="479"/>
        <item x="480"/>
        <item x="246"/>
        <item x="696"/>
        <item x="481"/>
        <item x="697"/>
        <item x="482"/>
        <item x="24"/>
        <item x="483"/>
        <item x="698"/>
        <item x="484"/>
        <item x="25"/>
        <item x="26"/>
        <item x="699"/>
        <item x="700"/>
        <item x="485"/>
        <item x="27"/>
        <item x="701"/>
        <item x="247"/>
        <item x="28"/>
        <item x="702"/>
        <item x="248"/>
        <item x="29"/>
        <item x="486"/>
        <item x="249"/>
        <item x="250"/>
        <item x="703"/>
        <item x="30"/>
        <item x="31"/>
        <item x="251"/>
        <item x="487"/>
        <item x="252"/>
        <item x="253"/>
        <item x="32"/>
        <item x="33"/>
        <item x="488"/>
        <item x="704"/>
        <item x="705"/>
        <item x="489"/>
        <item x="34"/>
        <item x="490"/>
        <item x="706"/>
        <item x="491"/>
        <item x="707"/>
        <item x="35"/>
        <item x="36"/>
        <item x="708"/>
        <item x="492"/>
        <item x="254"/>
        <item x="255"/>
        <item x="709"/>
        <item x="37"/>
        <item x="710"/>
        <item x="711"/>
        <item x="256"/>
        <item x="257"/>
        <item x="38"/>
        <item x="493"/>
        <item x="494"/>
        <item x="258"/>
        <item x="259"/>
        <item x="260"/>
        <item x="261"/>
        <item x="712"/>
        <item x="262"/>
        <item x="713"/>
        <item x="495"/>
        <item x="39"/>
        <item x="263"/>
        <item x="40"/>
        <item x="496"/>
        <item x="497"/>
        <item x="714"/>
        <item x="41"/>
        <item x="264"/>
        <item x="715"/>
        <item x="42"/>
        <item x="43"/>
        <item x="265"/>
        <item x="44"/>
        <item x="266"/>
        <item x="267"/>
        <item x="268"/>
        <item x="498"/>
        <item x="716"/>
        <item x="717"/>
        <item x="499"/>
        <item x="500"/>
        <item x="718"/>
        <item x="719"/>
        <item x="45"/>
        <item x="720"/>
        <item x="501"/>
        <item x="46"/>
        <item x="502"/>
        <item x="47"/>
        <item x="721"/>
        <item x="503"/>
        <item x="722"/>
        <item x="723"/>
        <item x="504"/>
        <item x="48"/>
        <item x="269"/>
        <item x="270"/>
        <item x="724"/>
        <item x="725"/>
        <item x="505"/>
        <item x="506"/>
        <item x="49"/>
        <item x="50"/>
        <item x="51"/>
        <item x="507"/>
        <item x="726"/>
        <item x="52"/>
        <item x="271"/>
        <item x="272"/>
        <item x="53"/>
        <item x="54"/>
        <item x="727"/>
        <item x="55"/>
        <item x="728"/>
        <item x="729"/>
        <item x="56"/>
        <item x="508"/>
        <item x="57"/>
        <item x="58"/>
        <item x="730"/>
        <item x="731"/>
        <item x="509"/>
        <item x="273"/>
        <item x="274"/>
        <item x="59"/>
        <item x="732"/>
        <item x="275"/>
        <item x="510"/>
        <item x="511"/>
        <item x="60"/>
        <item x="512"/>
        <item x="276"/>
        <item x="277"/>
        <item x="61"/>
        <item x="513"/>
        <item x="278"/>
        <item x="62"/>
        <item x="279"/>
        <item x="514"/>
        <item x="280"/>
        <item x="733"/>
        <item x="63"/>
        <item x="515"/>
        <item x="64"/>
        <item x="734"/>
        <item x="65"/>
        <item x="66"/>
        <item x="735"/>
        <item x="736"/>
        <item x="67"/>
        <item x="281"/>
        <item x="737"/>
        <item x="68"/>
        <item x="516"/>
        <item x="517"/>
        <item x="518"/>
        <item x="519"/>
        <item x="282"/>
        <item x="738"/>
        <item x="283"/>
        <item x="284"/>
        <item x="520"/>
        <item x="69"/>
        <item x="285"/>
        <item x="521"/>
        <item x="286"/>
        <item x="739"/>
        <item x="522"/>
        <item x="287"/>
        <item x="523"/>
        <item x="70"/>
        <item x="71"/>
        <item x="740"/>
        <item x="288"/>
        <item x="289"/>
        <item x="290"/>
        <item x="524"/>
        <item x="525"/>
        <item x="526"/>
        <item x="291"/>
        <item x="292"/>
        <item x="527"/>
        <item x="293"/>
        <item x="741"/>
        <item x="528"/>
        <item x="529"/>
        <item x="742"/>
        <item x="72"/>
        <item x="743"/>
        <item x="530"/>
        <item x="744"/>
        <item x="294"/>
        <item x="745"/>
        <item x="295"/>
        <item x="531"/>
        <item x="73"/>
        <item x="74"/>
        <item x="532"/>
        <item x="296"/>
        <item x="746"/>
        <item x="533"/>
        <item x="75"/>
        <item x="76"/>
        <item x="77"/>
        <item x="78"/>
        <item x="297"/>
        <item x="747"/>
        <item x="748"/>
        <item x="79"/>
        <item x="298"/>
        <item x="299"/>
        <item x="300"/>
        <item x="749"/>
        <item x="301"/>
        <item x="534"/>
        <item x="750"/>
        <item x="80"/>
        <item x="535"/>
        <item x="81"/>
        <item x="751"/>
        <item x="302"/>
        <item x="752"/>
        <item x="536"/>
        <item x="303"/>
        <item x="537"/>
        <item x="82"/>
        <item x="83"/>
        <item x="304"/>
        <item x="305"/>
        <item x="84"/>
        <item x="753"/>
        <item x="538"/>
        <item x="306"/>
        <item x="539"/>
        <item x="85"/>
        <item x="754"/>
        <item x="86"/>
        <item x="755"/>
        <item x="307"/>
        <item x="308"/>
        <item x="540"/>
        <item x="756"/>
        <item x="309"/>
        <item x="310"/>
        <item x="87"/>
        <item x="541"/>
        <item x="757"/>
        <item x="542"/>
        <item x="543"/>
        <item x="88"/>
        <item x="89"/>
        <item x="544"/>
        <item x="90"/>
        <item x="758"/>
        <item x="311"/>
        <item x="312"/>
        <item x="759"/>
        <item x="760"/>
        <item x="313"/>
        <item x="91"/>
        <item x="545"/>
        <item x="92"/>
        <item x="546"/>
        <item x="761"/>
        <item x="762"/>
        <item x="547"/>
        <item x="93"/>
        <item x="94"/>
        <item x="95"/>
        <item x="314"/>
        <item x="763"/>
        <item x="315"/>
        <item x="96"/>
        <item x="316"/>
        <item x="317"/>
        <item x="97"/>
        <item x="764"/>
        <item x="318"/>
        <item x="765"/>
        <item x="548"/>
        <item x="766"/>
        <item x="98"/>
        <item x="767"/>
        <item x="768"/>
        <item x="769"/>
        <item x="319"/>
        <item x="99"/>
        <item x="320"/>
        <item x="100"/>
        <item x="101"/>
        <item x="321"/>
        <item x="549"/>
        <item x="550"/>
        <item x="551"/>
        <item x="102"/>
        <item x="322"/>
        <item x="323"/>
        <item x="103"/>
        <item x="324"/>
        <item x="770"/>
        <item x="552"/>
        <item x="771"/>
        <item x="104"/>
        <item x="772"/>
        <item x="553"/>
        <item x="773"/>
        <item x="325"/>
        <item x="554"/>
        <item x="326"/>
        <item x="555"/>
        <item x="105"/>
        <item x="106"/>
        <item x="107"/>
        <item x="108"/>
        <item x="327"/>
        <item x="328"/>
        <item x="556"/>
        <item x="329"/>
        <item x="774"/>
        <item x="775"/>
        <item x="109"/>
        <item x="776"/>
        <item x="110"/>
        <item x="557"/>
        <item x="111"/>
        <item x="330"/>
        <item x="558"/>
        <item x="559"/>
        <item x="331"/>
        <item x="332"/>
        <item x="560"/>
        <item x="777"/>
        <item x="112"/>
        <item x="561"/>
        <item x="333"/>
        <item x="334"/>
        <item x="113"/>
        <item x="562"/>
        <item x="563"/>
        <item x="335"/>
        <item x="114"/>
        <item x="778"/>
        <item x="115"/>
        <item x="336"/>
        <item x="779"/>
        <item x="564"/>
        <item x="780"/>
        <item x="781"/>
        <item x="337"/>
        <item x="565"/>
        <item x="782"/>
        <item x="338"/>
        <item x="783"/>
        <item x="784"/>
        <item x="566"/>
        <item x="339"/>
        <item x="567"/>
        <item x="340"/>
        <item x="116"/>
        <item x="117"/>
        <item x="785"/>
        <item x="118"/>
        <item x="568"/>
        <item x="119"/>
        <item x="120"/>
        <item x="121"/>
        <item x="341"/>
        <item x="342"/>
        <item x="786"/>
        <item x="787"/>
        <item x="788"/>
        <item x="343"/>
        <item x="569"/>
        <item x="789"/>
        <item x="122"/>
        <item x="790"/>
        <item x="123"/>
        <item x="570"/>
        <item x="791"/>
        <item x="571"/>
        <item x="792"/>
        <item x="124"/>
        <item x="125"/>
        <item x="344"/>
        <item x="572"/>
        <item x="126"/>
        <item x="793"/>
        <item x="345"/>
        <item x="794"/>
        <item x="795"/>
        <item x="346"/>
        <item x="127"/>
        <item x="573"/>
        <item x="796"/>
        <item x="128"/>
        <item x="129"/>
        <item x="797"/>
        <item x="130"/>
        <item x="347"/>
        <item x="574"/>
        <item x="575"/>
        <item x="348"/>
        <item x="576"/>
        <item x="131"/>
        <item x="132"/>
        <item x="577"/>
        <item x="798"/>
        <item x="578"/>
        <item x="349"/>
        <item x="133"/>
        <item x="579"/>
        <item x="350"/>
        <item x="134"/>
        <item x="580"/>
        <item x="351"/>
        <item x="352"/>
        <item x="799"/>
        <item x="135"/>
        <item x="136"/>
        <item x="581"/>
        <item x="137"/>
        <item x="800"/>
        <item x="138"/>
        <item x="139"/>
        <item x="801"/>
        <item x="582"/>
        <item x="583"/>
        <item x="353"/>
        <item x="354"/>
        <item x="584"/>
        <item x="140"/>
        <item x="141"/>
        <item x="802"/>
        <item x="355"/>
        <item x="142"/>
        <item x="803"/>
        <item x="143"/>
        <item x="585"/>
        <item x="586"/>
        <item x="804"/>
        <item x="144"/>
        <item x="805"/>
        <item x="356"/>
        <item x="357"/>
        <item x="145"/>
        <item x="806"/>
        <item x="146"/>
        <item x="587"/>
        <item x="588"/>
        <item x="147"/>
        <item x="148"/>
        <item x="358"/>
        <item x="359"/>
        <item x="807"/>
        <item x="808"/>
        <item x="149"/>
        <item x="150"/>
        <item x="589"/>
        <item x="809"/>
        <item x="810"/>
        <item x="590"/>
        <item x="591"/>
        <item x="151"/>
        <item x="592"/>
        <item x="360"/>
        <item x="152"/>
        <item x="593"/>
        <item x="594"/>
        <item x="595"/>
        <item x="361"/>
        <item x="153"/>
        <item x="596"/>
        <item x="811"/>
        <item x="154"/>
        <item x="597"/>
        <item x="812"/>
        <item x="598"/>
        <item x="599"/>
        <item x="813"/>
        <item x="814"/>
        <item x="600"/>
        <item x="815"/>
        <item x="816"/>
        <item x="817"/>
        <item x="818"/>
        <item x="155"/>
        <item x="156"/>
        <item x="819"/>
        <item x="157"/>
        <item x="601"/>
        <item x="820"/>
        <item x="362"/>
        <item x="363"/>
        <item x="364"/>
        <item x="158"/>
        <item x="821"/>
        <item x="159"/>
        <item x="365"/>
        <item x="160"/>
        <item x="602"/>
        <item x="822"/>
        <item x="823"/>
        <item x="366"/>
        <item x="824"/>
        <item x="825"/>
        <item x="826"/>
        <item x="161"/>
        <item x="603"/>
        <item x="367"/>
        <item x="827"/>
        <item x="604"/>
        <item x="605"/>
        <item x="828"/>
        <item x="829"/>
        <item x="606"/>
        <item x="368"/>
        <item x="369"/>
        <item x="370"/>
        <item x="162"/>
        <item x="607"/>
        <item x="371"/>
        <item x="372"/>
        <item x="163"/>
        <item x="164"/>
        <item x="373"/>
        <item x="374"/>
        <item x="375"/>
        <item x="165"/>
        <item x="166"/>
        <item x="376"/>
        <item x="377"/>
        <item x="608"/>
        <item x="378"/>
        <item x="379"/>
        <item x="380"/>
        <item x="609"/>
        <item x="610"/>
        <item x="381"/>
        <item x="382"/>
        <item x="830"/>
        <item x="611"/>
        <item x="612"/>
        <item x="383"/>
        <item x="167"/>
        <item x="613"/>
        <item x="384"/>
        <item x="168"/>
        <item x="169"/>
        <item x="614"/>
        <item x="170"/>
        <item x="615"/>
        <item x="385"/>
        <item x="616"/>
        <item x="617"/>
        <item x="618"/>
        <item x="831"/>
        <item x="171"/>
        <item x="172"/>
        <item x="832"/>
        <item x="619"/>
        <item x="386"/>
        <item x="387"/>
        <item x="388"/>
        <item x="389"/>
        <item x="173"/>
        <item x="833"/>
        <item x="620"/>
        <item x="834"/>
        <item x="621"/>
        <item x="622"/>
        <item x="174"/>
        <item x="623"/>
        <item x="835"/>
        <item x="624"/>
        <item x="836"/>
        <item x="625"/>
        <item x="175"/>
        <item x="390"/>
        <item x="391"/>
        <item x="626"/>
        <item x="392"/>
        <item x="837"/>
        <item x="393"/>
        <item x="627"/>
        <item x="394"/>
        <item x="395"/>
        <item x="838"/>
        <item x="839"/>
        <item x="628"/>
        <item x="176"/>
        <item x="396"/>
        <item x="397"/>
        <item x="398"/>
        <item x="177"/>
        <item x="178"/>
        <item x="629"/>
        <item x="840"/>
        <item x="841"/>
        <item x="842"/>
        <item x="843"/>
        <item x="630"/>
        <item x="179"/>
        <item x="844"/>
        <item x="845"/>
        <item x="399"/>
        <item x="846"/>
        <item x="400"/>
        <item x="847"/>
        <item x="631"/>
        <item x="401"/>
        <item x="632"/>
        <item x="633"/>
        <item x="848"/>
        <item x="180"/>
        <item x="634"/>
        <item x="181"/>
        <item x="402"/>
        <item x="635"/>
        <item x="403"/>
        <item x="849"/>
        <item x="850"/>
        <item x="182"/>
        <item x="851"/>
        <item x="636"/>
        <item x="183"/>
        <item x="404"/>
        <item x="637"/>
        <item x="405"/>
        <item x="852"/>
        <item x="853"/>
        <item x="406"/>
        <item x="638"/>
        <item x="854"/>
        <item x="639"/>
        <item x="184"/>
        <item x="640"/>
        <item x="185"/>
        <item x="641"/>
        <item x="642"/>
        <item x="186"/>
        <item x="407"/>
        <item x="855"/>
        <item x="856"/>
        <item x="408"/>
        <item x="643"/>
        <item x="409"/>
        <item x="857"/>
        <item x="858"/>
        <item x="859"/>
        <item x="410"/>
        <item x="860"/>
        <item x="644"/>
        <item x="187"/>
        <item x="645"/>
        <item x="411"/>
        <item x="861"/>
        <item x="412"/>
        <item x="646"/>
        <item x="188"/>
        <item x="862"/>
        <item x="189"/>
        <item x="647"/>
        <item x="648"/>
        <item x="649"/>
        <item x="190"/>
        <item x="863"/>
        <item x="191"/>
        <item x="650"/>
        <item x="413"/>
        <item x="414"/>
        <item x="415"/>
        <item x="192"/>
        <item x="651"/>
        <item x="652"/>
        <item x="653"/>
        <item x="193"/>
        <item x="416"/>
        <item x="864"/>
        <item x="417"/>
        <item x="418"/>
        <item x="419"/>
        <item x="654"/>
        <item x="865"/>
        <item x="420"/>
        <item x="655"/>
        <item x="421"/>
        <item x="422"/>
        <item x="423"/>
        <item x="656"/>
        <item x="194"/>
        <item x="657"/>
        <item x="866"/>
        <item x="424"/>
        <item x="195"/>
        <item x="196"/>
        <item x="658"/>
        <item x="867"/>
        <item x="868"/>
        <item x="659"/>
        <item x="869"/>
        <item x="660"/>
        <item x="425"/>
        <item x="426"/>
        <item x="427"/>
        <item x="661"/>
        <item x="870"/>
        <item x="428"/>
        <item x="197"/>
        <item x="871"/>
        <item x="872"/>
        <item x="873"/>
        <item x="198"/>
        <item x="874"/>
        <item x="875"/>
        <item x="429"/>
        <item x="876"/>
        <item x="199"/>
        <item x="662"/>
        <item x="877"/>
        <item x="200"/>
        <item x="430"/>
        <item x="431"/>
        <item x="878"/>
        <item x="663"/>
        <item x="201"/>
        <item x="879"/>
        <item x="432"/>
        <item x="202"/>
        <item x="203"/>
        <item x="664"/>
        <item x="433"/>
        <item x="665"/>
        <item x="666"/>
        <item x="434"/>
        <item x="204"/>
        <item x="435"/>
        <item x="436"/>
        <item x="667"/>
        <item x="205"/>
        <item x="206"/>
        <item x="880"/>
        <item x="668"/>
        <item x="207"/>
        <item x="437"/>
        <item x="881"/>
        <item x="438"/>
        <item x="208"/>
        <item x="439"/>
        <item x="440"/>
        <item x="209"/>
        <item x="441"/>
        <item x="442"/>
        <item x="443"/>
        <item x="882"/>
        <item x="669"/>
        <item x="210"/>
        <item x="211"/>
        <item x="444"/>
        <item x="883"/>
        <item x="445"/>
        <item x="670"/>
        <item x="884"/>
        <item x="885"/>
        <item x="446"/>
        <item x="671"/>
        <item x="886"/>
        <item x="887"/>
        <item x="888"/>
        <item x="447"/>
        <item x="448"/>
        <item x="672"/>
        <item x="889"/>
        <item x="890"/>
        <item x="212"/>
        <item x="449"/>
        <item x="450"/>
        <item x="451"/>
        <item x="673"/>
        <item x="674"/>
        <item x="213"/>
        <item x="214"/>
        <item x="675"/>
        <item x="215"/>
        <item x="216"/>
        <item x="217"/>
        <item x="676"/>
        <item x="677"/>
        <item x="218"/>
        <item x="891"/>
        <item x="452"/>
        <item x="453"/>
        <item x="892"/>
        <item x="219"/>
        <item x="678"/>
        <item x="220"/>
        <item x="893"/>
        <item x="221"/>
        <item x="222"/>
        <item x="894"/>
        <item x="895"/>
        <item x="896"/>
        <item x="897"/>
        <item x="898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0"/>
        <item n="Детский_мир" x="1"/>
        <item x="2"/>
        <item n="Мир_детства"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8"/>
    <field x="7"/>
    <field x="6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_по_полю_выручка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661F7-5175-49CB-AE80-DA4F0B59EE26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1" name="Дата" tableColumnId="1"/>
      <queryTableField id="2" name="Товар" tableColumnId="2"/>
      <queryTableField id="3" name="количество единиц товара" tableColumnId="3"/>
      <queryTableField id="4" name="выручка" tableColumnId="4"/>
      <queryTableField id="5" name="менеджер" tableColumnId="5"/>
      <queryTableField id="13" dataBound="0" tableColumnId="7"/>
    </queryTableFields>
    <queryTableDeletedFields count="7">
      <deletedField name="количество единиц"/>
      <deletedField name="Column6"/>
      <deletedField name="Column7"/>
      <deletedField name="Column8"/>
      <deletedField name="Column9"/>
      <deletedField name="Column10"/>
      <deletedField name="Column1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DA1BF43-4C5A-4AE2-9A9A-AC0010720844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1" name="Дата" tableColumnId="1"/>
      <queryTableField id="2" name="Товар" tableColumnId="2"/>
      <queryTableField id="3" name="количество единиц товара" tableColumnId="3"/>
      <queryTableField id="4" name="выручка" tableColumnId="4"/>
      <queryTableField id="5" name="менеджер" tableColumnId="5"/>
      <queryTableField id="13" dataBound="0" tableColumnId="7"/>
    </queryTableFields>
    <queryTableDeletedFields count="7">
      <deletedField name="количество единиц"/>
      <deletedField name="Column6"/>
      <deletedField name="Column7"/>
      <deletedField name="Column8"/>
      <deletedField name="Column9"/>
      <deletedField name="Column10"/>
      <deletedField name="Column1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CA5DC6D-2072-4221-AC06-0156F96DA598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овар" tableColumnId="2"/>
      <queryTableField id="3" name="количество единиц товара" tableColumnId="3"/>
      <queryTableField id="4" name="выручка" tableColumnId="4"/>
      <queryTableField id="5" name="менеджер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F3F7E32-52BB-45FD-A6A5-6B445F1CE705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овар" tableColumnId="2"/>
      <queryTableField id="3" name="количество единиц товара" tableColumnId="3"/>
      <queryTableField id="4" name="выручка" tableColumnId="4"/>
      <queryTableField id="5" name="менеджер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B58A890-48C1-405D-ADE7-B25FF1FC7841}" autoFormatId="16" applyNumberFormats="0" applyBorderFormats="0" applyFontFormats="0" applyPatternFormats="0" applyAlignmentFormats="0" applyWidthHeightFormats="0">
  <queryTableRefresh nextId="12">
    <queryTableFields count="11">
      <queryTableField id="1" name="Дата" tableColumnId="1"/>
      <queryTableField id="2" name="Товар" tableColumnId="2"/>
      <queryTableField id="3" name="количество единиц" tableColumnId="3"/>
      <queryTableField id="4" name="выручка" tableColumnId="4"/>
      <queryTableField id="5" name="менеджер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632C7E9-F8E2-44C8-ABFA-4D962D05093F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овар" tableColumnId="2"/>
      <queryTableField id="3" name="количество единиц товара" tableColumnId="3"/>
      <queryTableField id="4" name="выручка" tableColumnId="4"/>
      <queryTableField id="5" name="менеджер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агазин" xr10:uid="{A1C492B2-1262-4CCA-B4AC-AB4605CD1E8D}" sourceName="магазин">
  <pivotTables>
    <pivotTable tabId="9" name="Сводная таблица32"/>
  </pivotTables>
  <data>
    <tabular pivotCacheId="1937884007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ы__Дата" xr10:uid="{82CBB445-CC30-4797-B435-8A20224919AC}" sourceName="Месяцы (Дата)">
  <pivotTables>
    <pivotTable tabId="9" name="Сводная таблица32"/>
  </pivotTables>
  <data>
    <tabular pivotCacheId="1937884007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варталы__Дата" xr10:uid="{32867CBC-71E0-4740-A8A0-E4E9C7572457}" sourceName="Кварталы (Дата)">
  <pivotTables>
    <pivotTable tabId="9" name="Сводная таблица32"/>
  </pivotTables>
  <data>
    <tabular pivotCacheId="1937884007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" xr10:uid="{CFA98F33-826B-480D-B0CC-D3672822A538}" sourceName="Годы (Дата)">
  <pivotTables>
    <pivotTable tabId="9" name="Сводная таблица32"/>
  </pivotTables>
  <data>
    <tabular pivotCacheId="1937884007">
      <items count="8">
        <i x="1" s="1"/>
        <i x="2" s="1"/>
        <i x="3" s="1"/>
        <i x="4" s="1"/>
        <i x="5" s="1"/>
        <i x="6" s="1"/>
        <i x="0" s="1" nd="1"/>
        <i x="7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" xr10:uid="{20B116CF-25D9-4433-94AB-CDC294A1714F}" sourceName="Товар">
  <pivotTables>
    <pivotTable tabId="9" name="Сводная таблица33"/>
  </pivotTables>
  <data>
    <tabular pivotCacheId="1937884007">
      <items count="13">
        <i x="9" s="1"/>
        <i x="10" s="1"/>
        <i x="6" s="1"/>
        <i x="12" s="1"/>
        <i x="4" s="1"/>
        <i x="1" s="1"/>
        <i x="11" s="1"/>
        <i x="7" s="1"/>
        <i x="3" s="1"/>
        <i x="8" s="1"/>
        <i x="2" s="1"/>
        <i x="5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варталы__Дата1" xr10:uid="{3474960B-8F48-4B2C-B1A1-4F306D844982}" sourceName="Кварталы (Дата)">
  <pivotTables>
    <pivotTable tabId="9" name="Сводная таблица33"/>
  </pivotTables>
  <data>
    <tabular pivotCacheId="1937884007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1" xr10:uid="{52AB141A-C22B-4EAF-A9EA-FA3F113F3EAF}" sourceName="Годы (Дата)">
  <pivotTables>
    <pivotTable tabId="9" name="Сводная таблица33"/>
  </pivotTables>
  <data>
    <tabular pivotCacheId="1937884007">
      <items count="8">
        <i x="1" s="1"/>
        <i x="2" s="1"/>
        <i x="3" s="1"/>
        <i x="4" s="1"/>
        <i x="5" s="1"/>
        <i x="6" s="1"/>
        <i x="0" s="1" nd="1"/>
        <i x="7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агазин1" xr10:uid="{2B53399C-08C3-4947-A47C-6CEC1AB3FFD6}" sourceName="магазин">
  <pivotTables>
    <pivotTable tabId="9" name="Сводная таблица34"/>
  </pivotTables>
  <data>
    <tabular pivotCacheId="1937884007">
      <items count="4">
        <i x="0" s="1"/>
        <i x="1" s="1"/>
        <i x="2" s="1"/>
        <i x="3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агазин2" xr10:uid="{36B10190-778A-4A8A-9385-F02E961F119D}" sourceName="магазин">
  <pivotTables>
    <pivotTable tabId="9" name="Сводная таблица35"/>
  </pivotTables>
  <data>
    <tabular pivotCacheId="1937884007">
      <items count="4">
        <i x="0" s="1"/>
        <i x="1" s="1"/>
        <i x="2" s="1"/>
        <i x="3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2" xr10:uid="{419E1F85-B2FC-459E-9A22-B73EC8E408B0}" sourceName="Годы (Дата)">
  <pivotTables>
    <pivotTable tabId="9" name="Сводная таблица35"/>
  </pivotTables>
  <data>
    <tabular pivotCacheId="1937884007">
      <items count="8">
        <i x="1" s="1"/>
        <i x="2" s="1"/>
        <i x="3" s="1"/>
        <i x="4" s="1"/>
        <i x="5" s="1"/>
        <i x="6" s="1"/>
        <i x="0" s="1" nd="1"/>
        <i x="7" s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1" xr10:uid="{0D46D2C3-600A-440E-B001-1AA89EA6DA15}" sourceName="Товар">
  <pivotTables>
    <pivotTable tabId="9" name="Сводная таблица2"/>
  </pivotTables>
  <data>
    <tabular pivotCacheId="1937884007">
      <items count="13">
        <i x="9" s="1"/>
        <i x="10" s="1"/>
        <i x="6" s="1"/>
        <i x="12"/>
        <i x="4"/>
        <i x="1"/>
        <i x="7"/>
        <i x="3"/>
        <i x="8"/>
        <i x="2"/>
        <i x="5"/>
        <i x="0"/>
        <i x="1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агазин3" xr10:uid="{2FC3B33F-3BB8-4B53-AC46-F1BDA58E7BE6}" sourceName="магазин">
  <pivotTables>
    <pivotTable tabId="9" name="Сводная таблица2"/>
  </pivotTables>
  <data>
    <tabular pivotCacheId="1937884007">
      <items count="4">
        <i x="0"/>
        <i x="1" s="1"/>
        <i x="2"/>
        <i x="3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3" xr10:uid="{B639741C-C7D4-4E48-8445-D39B9F0FCF1B}" sourceName="Годы (Дата)">
  <pivotTables>
    <pivotTable tabId="9" name="Сводная таблица2"/>
  </pivotTables>
  <data>
    <tabular pivotCacheId="1937884007">
      <items count="8">
        <i x="1"/>
        <i x="2"/>
        <i x="3"/>
        <i x="4"/>
        <i x="5" s="1"/>
        <i x="6"/>
        <i x="0" nd="1"/>
        <i x="7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агазин" xr10:uid="{B1C08FEC-7165-4689-BD83-B0FAA4B77770}" cache="Срез_магазин" caption="магазин" rowHeight="234950"/>
  <slicer name="Месяцы (Дата)" xr10:uid="{6B6FC33C-9AC5-46D1-BA92-99C7370898E2}" cache="Срез_Месяцы__Дата" caption="Месяцы (Дата)" rowHeight="234950"/>
  <slicer name="Кварталы (Дата)" xr10:uid="{C7A2D696-63F3-46C2-8C80-80F35012A4C8}" cache="Срез_Кварталы__Дата" caption="Кварталы (Дата)" rowHeight="234950"/>
  <slicer name="Годы (Дата)" xr10:uid="{B97246A2-F2DC-440A-9BFC-BF4E0BA0E88A}" cache="Срез_Годы__Дата" caption="Годы (Дата)" rowHeight="234950"/>
  <slicer name="Товар" xr10:uid="{C9311AFE-056A-4CE2-B58D-CD99AD11262F}" cache="Срез_Товар" caption="Товар" rowHeight="234950"/>
  <slicer name="Кварталы (Дата) 1" xr10:uid="{6A9B0FC1-072B-4072-88ED-A4E7F7572448}" cache="Срез_Кварталы__Дата1" caption="Кварталы (Дата)" rowHeight="234950"/>
  <slicer name="Годы (Дата) 1" xr10:uid="{7F37F3BB-7E74-4649-883B-5C84C091AEB7}" cache="Срез_Годы__Дата1" caption="Годы (Дата)" rowHeight="234950"/>
  <slicer name="магазин 1" xr10:uid="{D47777DB-C3E6-4EA3-8A96-F5A7FFAED457}" cache="Срез_магазин1" caption="магазин" rowHeight="234950"/>
  <slicer name="магазин 2" xr10:uid="{A02AEE68-BD7B-492E-AE09-66E4E8DDBC96}" cache="Срез_магазин2" caption="магазин" rowHeight="234950"/>
  <slicer name="Годы (Дата) 2" xr10:uid="{465EE0F0-2415-4C09-91DF-1097BA9106B2}" cache="Срез_Годы__Дата2" caption="Годы (Дата)" rowHeight="234950"/>
  <slicer name="Товар 1" xr10:uid="{F29301B2-DA0F-4594-98DC-03C8DD913DC1}" cache="Срез_Товар1" caption="Товар" rowHeight="234950"/>
  <slicer name="магазин 3" xr10:uid="{96B9C471-2220-4DA5-BA9A-5073EC445C34}" cache="Срез_магазин3" caption="магазин" rowHeight="234950"/>
  <slicer name="Годы (Дата) 3" xr10:uid="{CA592BD3-092E-48B7-AF1D-30DC9C367C6D}" cache="Срез_Годы__Дата3" caption="Годы (Дата)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F750A2-A61F-4ACF-B5C7-C652871D412A}" name="Добавить1" displayName="Добавить1" ref="A1:F900" tableType="queryTable" totalsRowShown="0">
  <autoFilter ref="A1:F900" xr:uid="{5DB8D8E4-FE97-42E3-B506-4E70F057BBE2}"/>
  <tableColumns count="6">
    <tableColumn id="1" xr3:uid="{DD00446A-1531-4322-AF33-ABBCBABF7E7B}" uniqueName="1" name="Дата" queryTableFieldId="1" dataDxfId="32"/>
    <tableColumn id="2" xr3:uid="{BB2B8329-6E30-46C7-A045-8808BBF563A8}" uniqueName="2" name="Товар" queryTableFieldId="2"/>
    <tableColumn id="3" xr3:uid="{DFA8D7D0-2AF0-4E03-B141-F5284632DDA6}" uniqueName="3" name="количество_единиц_товара" queryTableFieldId="3"/>
    <tableColumn id="4" xr3:uid="{77327913-BBAA-4A9F-810B-6E53272499BD}" uniqueName="4" name="выручка" queryTableFieldId="4"/>
    <tableColumn id="5" xr3:uid="{98105BBC-B0EE-4026-A663-32DC62C434DE}" uniqueName="5" name="менеджер" queryTableFieldId="5"/>
    <tableColumn id="7" xr3:uid="{5E09D956-A9EB-4D8E-BF60-A1DE5343F79F}" uniqueName="7" name="магазин" queryTableFieldId="13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58CCB5-FD17-4821-A3CA-E9423504BCBF}" name="Добавить18" displayName="Добавить18" ref="A1:F900" tableType="queryTable" totalsRowShown="0">
  <autoFilter ref="A1:F900" xr:uid="{AE58CCB5-FD17-4821-A3CA-E9423504BCBF}"/>
  <tableColumns count="6">
    <tableColumn id="1" xr3:uid="{458DC582-D031-43F7-B79B-BEFEE5409F41}" uniqueName="1" name="Дата" queryTableFieldId="1" dataDxfId="30"/>
    <tableColumn id="2" xr3:uid="{EBD362A0-EB7B-4E34-BE3A-7EA64E09FEF5}" uniqueName="2" name="Товар" queryTableFieldId="2"/>
    <tableColumn id="3" xr3:uid="{E4C1DCAB-4B17-4E66-BA73-0DDD628017A6}" uniqueName="3" name="количество_единиц_товара" queryTableFieldId="3"/>
    <tableColumn id="4" xr3:uid="{CBC2A2B1-D509-4909-9BAE-FB649B761712}" uniqueName="4" name="выручка" queryTableFieldId="4"/>
    <tableColumn id="5" xr3:uid="{813420AB-0CDB-4820-9BC0-A7FFBBE0533A}" uniqueName="5" name="менеджер" queryTableFieldId="5"/>
    <tableColumn id="7" xr3:uid="{60E83DAD-1FC1-4648-96E5-D06D367CC603}" uniqueName="7" name="магазин" queryTableFieldId="13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F6AF9-CC81-44FA-A70C-50271524E746}" name="Лист1" displayName="Лист1" ref="A1:E232" tableType="queryTable" totalsRowShown="0">
  <autoFilter ref="A1:E232" xr:uid="{07F9A509-0193-416D-B1B1-94F502D1596D}"/>
  <tableColumns count="5">
    <tableColumn id="1" xr3:uid="{EB0FE724-40F7-4CC9-BFBC-DF65A2883F7A}" uniqueName="1" name="Дата" queryTableFieldId="1" dataDxfId="28"/>
    <tableColumn id="2" xr3:uid="{926C949B-F7C5-433A-89F3-525B5854E17E}" uniqueName="2" name="Товар" queryTableFieldId="2"/>
    <tableColumn id="3" xr3:uid="{F03E6A7C-C9BA-447A-9461-48C3C256E88C}" uniqueName="3" name="количество единиц товара" queryTableFieldId="3"/>
    <tableColumn id="4" xr3:uid="{7A2BEA26-9BAC-49B4-ACD2-5C89DFF1BC0D}" uniqueName="4" name="выручка" queryTableFieldId="4"/>
    <tableColumn id="5" xr3:uid="{154F0721-CFB4-4C48-9C12-EFE49598DF70}" uniqueName="5" name="менеджер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AEDDB-8B52-4D94-B43E-02E3CC5DC0F9}" name="Лист1__2" displayName="Лист1__2" ref="A1:E266" tableType="queryTable" totalsRowShown="0">
  <autoFilter ref="A1:E266" xr:uid="{CAEFA412-6113-4676-9822-AF1921533CFF}"/>
  <tableColumns count="5">
    <tableColumn id="1" xr3:uid="{8292FA2B-947C-4C71-B571-CE98E4FAEEE0}" uniqueName="1" name="Дата" queryTableFieldId="1" dataDxfId="27"/>
    <tableColumn id="2" xr3:uid="{91DE17D8-388F-4E23-923C-C2A713BEB0F5}" uniqueName="2" name="Товар" queryTableFieldId="2"/>
    <tableColumn id="3" xr3:uid="{DA5E54D4-44D2-474C-8961-DAC512FBA9B3}" uniqueName="3" name="количество единиц товара" queryTableFieldId="3"/>
    <tableColumn id="4" xr3:uid="{BE4709D7-94D6-4082-8840-D662BF9F6D8C}" uniqueName="4" name="выручка" queryTableFieldId="4"/>
    <tableColumn id="5" xr3:uid="{0023EA59-115D-4002-B1BB-DB7750CBF9F3}" uniqueName="5" name="менеджер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261E91-B322-4D80-BDA3-9EC17D85D650}" name="Лист1__3" displayName="Лист1__3" ref="A1:K232" tableType="queryTable" totalsRowShown="0">
  <autoFilter ref="A1:K232" xr:uid="{A46947D5-F6BA-431A-8766-98D6D52878FA}"/>
  <tableColumns count="11">
    <tableColumn id="1" xr3:uid="{F5811EFE-E3E2-4ECE-AEEB-AECFEE28C5ED}" uniqueName="1" name="Дата" queryTableFieldId="1" dataDxfId="26"/>
    <tableColumn id="2" xr3:uid="{FD666DA3-CA65-4516-8CE7-693EA718232B}" uniqueName="2" name="Товар" queryTableFieldId="2"/>
    <tableColumn id="3" xr3:uid="{D517B8AE-2B64-4D9E-9CF1-AF748E7309D5}" uniqueName="3" name="количество единиц" queryTableFieldId="3"/>
    <tableColumn id="4" xr3:uid="{5510AAA4-2E30-40D5-9172-392DB7FB2AA1}" uniqueName="4" name="выручка" queryTableFieldId="4"/>
    <tableColumn id="5" xr3:uid="{0F0783B2-42DF-4AD5-8129-DFBC6C009EC4}" uniqueName="5" name="менеджер" queryTableFieldId="5"/>
    <tableColumn id="6" xr3:uid="{694653AE-FE21-4046-919A-8801646F32A6}" uniqueName="6" name="Column6" queryTableFieldId="6"/>
    <tableColumn id="7" xr3:uid="{094039BA-F2C3-44A5-A95F-D53543421267}" uniqueName="7" name="Column7" queryTableFieldId="7"/>
    <tableColumn id="8" xr3:uid="{A196F16F-5517-4E10-95DE-FCF33A2AAEE6}" uniqueName="8" name="Column8" queryTableFieldId="8"/>
    <tableColumn id="9" xr3:uid="{AB64F716-3C63-4B1A-B3CC-DDD0150193A2}" uniqueName="9" name="Column9" queryTableFieldId="9"/>
    <tableColumn id="10" xr3:uid="{E241215E-EBEC-43A8-A177-FC5D6CAF09B4}" uniqueName="10" name="Column10" queryTableFieldId="10"/>
    <tableColumn id="11" xr3:uid="{FDEAFC82-BE22-4DA4-A691-E19AADBC4360}" uniqueName="11" name="Column11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68CA2B-DF56-4C57-B69A-D894A581AB2A}" name="Лист1__4" displayName="Лист1__4" ref="A1:E232" tableType="queryTable" totalsRowShown="0">
  <autoFilter ref="A1:E232" xr:uid="{28C26B49-1772-42E6-AE55-A2BE1BE4C85D}"/>
  <tableColumns count="5">
    <tableColumn id="1" xr3:uid="{B7890BB6-4377-4C6A-84E0-7B80541D6354}" uniqueName="1" name="Дата" queryTableFieldId="1" dataDxfId="25"/>
    <tableColumn id="2" xr3:uid="{3967B527-5611-4CE1-8156-F33168CD2A4D}" uniqueName="2" name="Товар" queryTableFieldId="2"/>
    <tableColumn id="3" xr3:uid="{2BB95E15-A018-4334-BA90-59E94268ACF0}" uniqueName="3" name="количество единиц товара" queryTableFieldId="3"/>
    <tableColumn id="4" xr3:uid="{2A058C88-062B-49EC-B28D-C0452B7F771E}" uniqueName="4" name="выручка" queryTableFieldId="4"/>
    <tableColumn id="5" xr3:uid="{815B5E32-DCB8-4ABB-A49D-3237A3B5F743}" uniqueName="5" name="менеджер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Красный и фиолетовый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zoomScale="90" zoomScaleNormal="90" workbookViewId="0">
      <selection activeCell="D17" sqref="D17"/>
    </sheetView>
  </sheetViews>
  <sheetFormatPr defaultColWidth="8.6640625" defaultRowHeight="14.4" x14ac:dyDescent="0.3"/>
  <cols>
    <col min="2" max="2" width="90" customWidth="1"/>
    <col min="3" max="3" width="40.109375" customWidth="1"/>
    <col min="4" max="4" width="48.88671875" customWidth="1"/>
  </cols>
  <sheetData>
    <row r="1" spans="1:4" ht="18" x14ac:dyDescent="0.35">
      <c r="A1" s="1"/>
      <c r="B1" s="2" t="s">
        <v>0</v>
      </c>
      <c r="C1" s="1"/>
      <c r="D1" s="3"/>
    </row>
    <row r="2" spans="1:4" ht="18" x14ac:dyDescent="0.35">
      <c r="A2" s="1"/>
      <c r="B2" s="1"/>
      <c r="C2" s="1"/>
      <c r="D2" s="4"/>
    </row>
    <row r="3" spans="1:4" ht="18" x14ac:dyDescent="0.35">
      <c r="A3" s="1"/>
      <c r="B3" s="5" t="s">
        <v>1</v>
      </c>
      <c r="C3" s="5"/>
      <c r="D3" s="1"/>
    </row>
    <row r="4" spans="1:4" ht="18" x14ac:dyDescent="0.3">
      <c r="A4" s="1"/>
      <c r="B4" s="6" t="s">
        <v>2</v>
      </c>
      <c r="C4" s="7"/>
      <c r="D4" s="1"/>
    </row>
    <row r="5" spans="1:4" ht="36" x14ac:dyDescent="0.3">
      <c r="A5" s="1"/>
      <c r="B5" s="6" t="s">
        <v>3</v>
      </c>
      <c r="C5" s="6" t="s">
        <v>4</v>
      </c>
      <c r="D5" s="1"/>
    </row>
    <row r="6" spans="1:4" x14ac:dyDescent="0.3">
      <c r="A6" s="1"/>
      <c r="B6" s="1"/>
      <c r="C6" s="1"/>
      <c r="D6" s="1"/>
    </row>
    <row r="7" spans="1:4" ht="36" x14ac:dyDescent="0.3">
      <c r="A7" s="1"/>
      <c r="B7" s="8" t="s">
        <v>5</v>
      </c>
      <c r="C7" s="8"/>
      <c r="D7" s="9" t="s">
        <v>6</v>
      </c>
    </row>
    <row r="8" spans="1:4" ht="23.4" x14ac:dyDescent="0.35">
      <c r="A8" s="1"/>
      <c r="B8" s="4" t="s">
        <v>7</v>
      </c>
      <c r="C8" s="1"/>
      <c r="D8" s="10"/>
    </row>
    <row r="9" spans="1:4" ht="36" x14ac:dyDescent="0.35">
      <c r="A9" s="1"/>
      <c r="B9" s="4" t="s">
        <v>8</v>
      </c>
      <c r="C9" s="1"/>
      <c r="D9" s="11" t="s">
        <v>9</v>
      </c>
    </row>
    <row r="10" spans="1:4" ht="36" x14ac:dyDescent="0.3">
      <c r="A10" s="1"/>
      <c r="B10" s="1"/>
      <c r="C10" s="1"/>
      <c r="D10" s="11" t="s">
        <v>10</v>
      </c>
    </row>
    <row r="11" spans="1:4" ht="36" x14ac:dyDescent="0.35">
      <c r="A11" s="1"/>
      <c r="B11" s="12" t="s">
        <v>11</v>
      </c>
      <c r="C11" s="1"/>
      <c r="D11" s="11" t="s">
        <v>12</v>
      </c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ht="18" x14ac:dyDescent="0.35">
      <c r="A14" s="1"/>
      <c r="B14" s="13" t="s">
        <v>13</v>
      </c>
      <c r="C14" s="14"/>
      <c r="D14" s="15"/>
    </row>
    <row r="15" spans="1:4" ht="18" x14ac:dyDescent="0.35">
      <c r="A15" s="1"/>
      <c r="B15" s="13"/>
      <c r="C15" s="15"/>
      <c r="D15" s="16"/>
    </row>
    <row r="16" spans="1:4" ht="18" x14ac:dyDescent="0.3">
      <c r="A16" s="1"/>
      <c r="B16" s="17" t="s">
        <v>14</v>
      </c>
      <c r="C16" s="53" t="s">
        <v>107</v>
      </c>
      <c r="D16" s="1"/>
    </row>
    <row r="17" spans="1:4" s="14" customFormat="1" ht="18" x14ac:dyDescent="0.3">
      <c r="A17" s="16"/>
      <c r="B17" s="18"/>
      <c r="C17" s="16"/>
    </row>
    <row r="18" spans="1:4" ht="18" x14ac:dyDescent="0.35">
      <c r="A18" s="1"/>
      <c r="B18" s="15"/>
      <c r="C18" s="15"/>
    </row>
    <row r="19" spans="1:4" ht="18" x14ac:dyDescent="0.35">
      <c r="A19" s="1"/>
      <c r="B19" s="15"/>
      <c r="C19" s="15"/>
    </row>
    <row r="20" spans="1:4" s="14" customFormat="1" ht="18" x14ac:dyDescent="0.35">
      <c r="A20" s="16"/>
      <c r="B20" s="15"/>
      <c r="C20" s="15"/>
      <c r="D20" s="15"/>
    </row>
    <row r="21" spans="1:4" ht="18" x14ac:dyDescent="0.3">
      <c r="A21" s="1"/>
      <c r="B21" s="19" t="s">
        <v>15</v>
      </c>
      <c r="C21" s="20"/>
      <c r="D21" s="20"/>
    </row>
    <row r="22" spans="1:4" ht="39.75" customHeight="1" x14ac:dyDescent="0.3">
      <c r="A22" s="1"/>
      <c r="B22" s="21" t="s">
        <v>16</v>
      </c>
      <c r="C22" s="20"/>
      <c r="D22" s="20"/>
    </row>
    <row r="23" spans="1:4" ht="18" x14ac:dyDescent="0.3">
      <c r="A23" s="1"/>
      <c r="B23" s="19" t="s">
        <v>17</v>
      </c>
      <c r="C23" s="22"/>
      <c r="D23" s="22"/>
    </row>
    <row r="24" spans="1:4" x14ac:dyDescent="0.3">
      <c r="A24" s="1"/>
      <c r="B24" s="1"/>
      <c r="D24" s="1"/>
    </row>
    <row r="25" spans="1:4" ht="15.6" x14ac:dyDescent="0.3">
      <c r="A25" s="1"/>
      <c r="B25" s="23" t="s">
        <v>18</v>
      </c>
      <c r="C25" s="23" t="s">
        <v>19</v>
      </c>
      <c r="D25" s="1"/>
    </row>
    <row r="26" spans="1:4" ht="18" x14ac:dyDescent="0.35">
      <c r="A26" s="1"/>
      <c r="B26" s="24" t="s">
        <v>20</v>
      </c>
      <c r="C26" s="25">
        <v>1</v>
      </c>
    </row>
    <row r="27" spans="1:4" ht="18" x14ac:dyDescent="0.35">
      <c r="A27" s="1"/>
      <c r="B27" s="24" t="s">
        <v>21</v>
      </c>
      <c r="C27" s="25">
        <v>1</v>
      </c>
    </row>
    <row r="28" spans="1:4" ht="18" x14ac:dyDescent="0.35">
      <c r="A28" s="1"/>
      <c r="B28" s="24" t="s">
        <v>22</v>
      </c>
      <c r="C28" s="25">
        <v>1</v>
      </c>
    </row>
    <row r="29" spans="1:4" ht="18" x14ac:dyDescent="0.35">
      <c r="A29" s="1"/>
      <c r="B29" s="24" t="s">
        <v>23</v>
      </c>
      <c r="C29" s="25">
        <v>1</v>
      </c>
      <c r="D29" s="1"/>
    </row>
    <row r="30" spans="1:4" ht="18" x14ac:dyDescent="0.35">
      <c r="A30" s="1"/>
      <c r="B30" s="24" t="s">
        <v>24</v>
      </c>
      <c r="C30" s="25">
        <v>1</v>
      </c>
      <c r="D30" s="1"/>
    </row>
    <row r="31" spans="1:4" ht="18" x14ac:dyDescent="0.35">
      <c r="A31" s="1"/>
      <c r="B31" s="1"/>
      <c r="C31" s="26">
        <v>5</v>
      </c>
      <c r="D31" s="1"/>
    </row>
    <row r="32" spans="1:4" x14ac:dyDescent="0.3">
      <c r="A32" s="1"/>
      <c r="B32" s="1"/>
      <c r="D32" s="1"/>
    </row>
    <row r="33" spans="1:4" x14ac:dyDescent="0.3">
      <c r="A33" s="1"/>
      <c r="C33" s="1"/>
      <c r="D33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opLeftCell="I1" zoomScale="110" zoomScaleNormal="80" workbookViewId="0">
      <selection activeCell="J2" sqref="J2"/>
    </sheetView>
  </sheetViews>
  <sheetFormatPr defaultColWidth="8.6640625" defaultRowHeight="14.4" x14ac:dyDescent="0.3"/>
  <cols>
    <col min="1" max="1" width="6.44140625" customWidth="1"/>
    <col min="2" max="6" width="23.44140625" customWidth="1"/>
    <col min="7" max="7" width="27.33203125" customWidth="1"/>
    <col min="8" max="8" width="37" customWidth="1"/>
    <col min="9" max="9" width="34.44140625" style="33" customWidth="1"/>
    <col min="10" max="10" width="38" style="33" customWidth="1"/>
    <col min="12" max="12" width="36.88671875" customWidth="1"/>
  </cols>
  <sheetData>
    <row r="1" spans="1:12" ht="42" thickBot="1" x14ac:dyDescent="0.35">
      <c r="A1" s="27" t="s">
        <v>25</v>
      </c>
      <c r="B1" s="23" t="s">
        <v>26</v>
      </c>
      <c r="C1" s="23" t="s">
        <v>27</v>
      </c>
      <c r="D1" s="23" t="s">
        <v>28</v>
      </c>
      <c r="E1" s="28" t="s">
        <v>29</v>
      </c>
      <c r="F1" s="29" t="s">
        <v>30</v>
      </c>
      <c r="G1" s="23" t="s">
        <v>31</v>
      </c>
      <c r="H1" s="28" t="s">
        <v>32</v>
      </c>
      <c r="I1" s="34" t="s">
        <v>33</v>
      </c>
      <c r="J1" s="35" t="s">
        <v>34</v>
      </c>
    </row>
    <row r="2" spans="1:12" ht="43.8" thickBot="1" x14ac:dyDescent="0.35">
      <c r="A2" s="37">
        <v>3</v>
      </c>
      <c r="B2" s="36" t="s">
        <v>39</v>
      </c>
      <c r="C2" s="36" t="s">
        <v>40</v>
      </c>
      <c r="D2" s="36" t="s">
        <v>41</v>
      </c>
      <c r="E2" s="38" t="s">
        <v>42</v>
      </c>
      <c r="F2" s="39" t="s">
        <v>37</v>
      </c>
      <c r="G2" s="36" t="s">
        <v>35</v>
      </c>
      <c r="H2" s="38" t="s">
        <v>43</v>
      </c>
      <c r="I2" s="36" t="s">
        <v>36</v>
      </c>
      <c r="J2" s="36" t="s">
        <v>44</v>
      </c>
    </row>
    <row r="3" spans="1:12" ht="55.5" customHeight="1" x14ac:dyDescent="0.3">
      <c r="L3" s="30" t="s">
        <v>38</v>
      </c>
    </row>
    <row r="4" spans="1:12" ht="56.25" customHeight="1" x14ac:dyDescent="0.3">
      <c r="L4" s="30" t="s">
        <v>45</v>
      </c>
    </row>
    <row r="5" spans="1:12" s="14" customFormat="1" ht="57.75" customHeight="1" x14ac:dyDescent="0.3">
      <c r="A5"/>
      <c r="B5"/>
      <c r="C5"/>
      <c r="D5"/>
      <c r="E5"/>
      <c r="F5"/>
      <c r="G5"/>
      <c r="H5"/>
      <c r="I5" s="33"/>
      <c r="J5" s="33"/>
      <c r="L5" s="31" t="s">
        <v>46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5"/>
  <sheetViews>
    <sheetView zoomScaleNormal="100" workbookViewId="0">
      <selection activeCell="B2" sqref="B2:C15"/>
    </sheetView>
  </sheetViews>
  <sheetFormatPr defaultColWidth="8.6640625" defaultRowHeight="14.4" x14ac:dyDescent="0.3"/>
  <cols>
    <col min="2" max="2" width="28" customWidth="1"/>
    <col min="3" max="3" width="19.33203125" customWidth="1"/>
  </cols>
  <sheetData>
    <row r="2" spans="2:3" x14ac:dyDescent="0.3">
      <c r="B2" s="32" t="s">
        <v>47</v>
      </c>
      <c r="C2" s="32" t="s">
        <v>48</v>
      </c>
    </row>
    <row r="3" spans="2:3" x14ac:dyDescent="0.3">
      <c r="B3" s="32" t="s">
        <v>49</v>
      </c>
      <c r="C3" s="32">
        <v>3100</v>
      </c>
    </row>
    <row r="4" spans="2:3" x14ac:dyDescent="0.3">
      <c r="B4" s="32" t="s">
        <v>50</v>
      </c>
      <c r="C4" s="32">
        <v>2200</v>
      </c>
    </row>
    <row r="5" spans="2:3" x14ac:dyDescent="0.3">
      <c r="B5" s="32" t="s">
        <v>51</v>
      </c>
      <c r="C5" s="32">
        <v>2560</v>
      </c>
    </row>
    <row r="6" spans="2:3" x14ac:dyDescent="0.3">
      <c r="B6" s="32" t="s">
        <v>52</v>
      </c>
      <c r="C6" s="32">
        <v>680</v>
      </c>
    </row>
    <row r="7" spans="2:3" x14ac:dyDescent="0.3">
      <c r="B7" s="32" t="s">
        <v>53</v>
      </c>
      <c r="C7" s="32">
        <v>1788</v>
      </c>
    </row>
    <row r="8" spans="2:3" x14ac:dyDescent="0.3">
      <c r="B8" s="32" t="s">
        <v>54</v>
      </c>
      <c r="C8" s="32">
        <v>2450</v>
      </c>
    </row>
    <row r="9" spans="2:3" x14ac:dyDescent="0.3">
      <c r="B9" s="32" t="s">
        <v>55</v>
      </c>
      <c r="C9" s="32">
        <v>4500</v>
      </c>
    </row>
    <row r="10" spans="2:3" x14ac:dyDescent="0.3">
      <c r="B10" s="32" t="s">
        <v>56</v>
      </c>
      <c r="C10" s="32">
        <v>1600</v>
      </c>
    </row>
    <row r="11" spans="2:3" x14ac:dyDescent="0.3">
      <c r="B11" s="32" t="s">
        <v>57</v>
      </c>
      <c r="C11" s="32">
        <v>3796</v>
      </c>
    </row>
    <row r="12" spans="2:3" x14ac:dyDescent="0.3">
      <c r="B12" s="32" t="s">
        <v>58</v>
      </c>
      <c r="C12" s="32">
        <v>4455</v>
      </c>
    </row>
    <row r="13" spans="2:3" x14ac:dyDescent="0.3">
      <c r="B13" s="32" t="s">
        <v>59</v>
      </c>
      <c r="C13" s="32">
        <v>2000</v>
      </c>
    </row>
    <row r="14" spans="2:3" x14ac:dyDescent="0.3">
      <c r="B14" s="32" t="s">
        <v>60</v>
      </c>
      <c r="C14" s="32">
        <v>5789</v>
      </c>
    </row>
    <row r="15" spans="2:3" x14ac:dyDescent="0.3">
      <c r="B15" s="32" t="s">
        <v>61</v>
      </c>
      <c r="C15" s="32">
        <v>3470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BBF7-2E16-4A76-B260-5F29CE51B773}">
  <dimension ref="A1:O900"/>
  <sheetViews>
    <sheetView tabSelected="1" zoomScale="50" workbookViewId="0">
      <selection activeCell="M182" sqref="M182"/>
    </sheetView>
  </sheetViews>
  <sheetFormatPr defaultRowHeight="14.4" x14ac:dyDescent="0.3"/>
  <cols>
    <col min="1" max="1" width="16" customWidth="1"/>
    <col min="2" max="2" width="26" bestFit="1" customWidth="1"/>
    <col min="3" max="3" width="9.21875" customWidth="1"/>
    <col min="4" max="4" width="10.44140625" customWidth="1"/>
    <col min="5" max="5" width="18" bestFit="1" customWidth="1"/>
    <col min="6" max="6" width="17" bestFit="1" customWidth="1"/>
    <col min="7" max="7" width="23.21875" bestFit="1" customWidth="1"/>
    <col min="8" max="8" width="26.33203125" bestFit="1" customWidth="1"/>
    <col min="9" max="9" width="20.33203125" bestFit="1" customWidth="1"/>
    <col min="10" max="10" width="11.5546875" bestFit="1" customWidth="1"/>
    <col min="11" max="11" width="10.44140625" bestFit="1" customWidth="1"/>
    <col min="12" max="12" width="12" bestFit="1" customWidth="1"/>
    <col min="13" max="13" width="11.5546875" bestFit="1" customWidth="1"/>
    <col min="14" max="14" width="17" bestFit="1" customWidth="1"/>
    <col min="15" max="15" width="39.5546875" bestFit="1" customWidth="1"/>
    <col min="16" max="16" width="40.21875" bestFit="1" customWidth="1"/>
  </cols>
  <sheetData>
    <row r="1" spans="1:15" x14ac:dyDescent="0.3">
      <c r="A1" t="s">
        <v>62</v>
      </c>
      <c r="B1" t="s">
        <v>47</v>
      </c>
      <c r="C1" t="s">
        <v>98</v>
      </c>
      <c r="D1" t="s">
        <v>64</v>
      </c>
      <c r="E1" t="s">
        <v>65</v>
      </c>
      <c r="F1" s="14" t="s">
        <v>92</v>
      </c>
      <c r="G1" s="32" t="s">
        <v>47</v>
      </c>
      <c r="H1" s="32" t="s">
        <v>104</v>
      </c>
      <c r="J1" s="41" t="s">
        <v>99</v>
      </c>
      <c r="K1" s="41" t="s">
        <v>97</v>
      </c>
    </row>
    <row r="2" spans="1:15" x14ac:dyDescent="0.3">
      <c r="A2" s="40">
        <v>42382.219606481478</v>
      </c>
      <c r="B2" t="s">
        <v>52</v>
      </c>
      <c r="C2">
        <v>13</v>
      </c>
      <c r="D2">
        <f>VLOOKUP(Добавить1[[#This Row],[Товар]],$G$1:$H$14,2,0)*Добавить1[[#This Row],[количество_единиц_товара]]</f>
        <v>8840</v>
      </c>
      <c r="E2" t="s">
        <v>66</v>
      </c>
      <c r="F2" s="14" t="s">
        <v>93</v>
      </c>
      <c r="G2" s="32" t="s">
        <v>49</v>
      </c>
      <c r="H2" s="32">
        <v>3100</v>
      </c>
      <c r="J2" s="41" t="s">
        <v>100</v>
      </c>
      <c r="K2" s="14" t="s">
        <v>93</v>
      </c>
      <c r="L2" s="14" t="s">
        <v>101</v>
      </c>
      <c r="M2" s="14" t="s">
        <v>95</v>
      </c>
      <c r="N2" s="14" t="s">
        <v>102</v>
      </c>
      <c r="O2" s="14" t="s">
        <v>103</v>
      </c>
    </row>
    <row r="3" spans="1:15" x14ac:dyDescent="0.3">
      <c r="A3" s="40">
        <v>42392.014138495368</v>
      </c>
      <c r="B3" t="s">
        <v>58</v>
      </c>
      <c r="C3">
        <v>14</v>
      </c>
      <c r="D3" s="14">
        <f>VLOOKUP(Добавить1[[#This Row],[Товар]],$G$1:$H$14,2,0)*Добавить1[[#This Row],[количество_единиц_товара]]</f>
        <v>62370</v>
      </c>
      <c r="E3" t="s">
        <v>67</v>
      </c>
      <c r="F3" s="14" t="s">
        <v>93</v>
      </c>
      <c r="G3" s="32" t="s">
        <v>50</v>
      </c>
      <c r="H3" s="32">
        <v>2200</v>
      </c>
      <c r="J3" s="42" t="s">
        <v>86</v>
      </c>
      <c r="K3" s="43">
        <v>3058599</v>
      </c>
      <c r="L3" s="43">
        <v>2373098</v>
      </c>
      <c r="M3" s="43">
        <v>2244450</v>
      </c>
      <c r="N3" s="43">
        <v>2373303</v>
      </c>
      <c r="O3" s="43">
        <v>10049450</v>
      </c>
    </row>
    <row r="4" spans="1:15" x14ac:dyDescent="0.3">
      <c r="A4" s="40">
        <v>42394.635415914352</v>
      </c>
      <c r="B4" t="s">
        <v>51</v>
      </c>
      <c r="C4">
        <v>38</v>
      </c>
      <c r="D4" s="14">
        <f>VLOOKUP(Добавить1[[#This Row],[Товар]],$G$1:$H$14,2,0)*Добавить1[[#This Row],[количество_единиц_товара]]</f>
        <v>97280</v>
      </c>
      <c r="E4" t="s">
        <v>66</v>
      </c>
      <c r="F4" s="14" t="s">
        <v>93</v>
      </c>
      <c r="G4" s="32" t="s">
        <v>51</v>
      </c>
      <c r="H4" s="32">
        <v>2560</v>
      </c>
      <c r="J4" s="42" t="s">
        <v>87</v>
      </c>
      <c r="K4" s="43">
        <v>2936869</v>
      </c>
      <c r="L4" s="43">
        <v>2571584</v>
      </c>
      <c r="M4" s="43">
        <v>2423035</v>
      </c>
      <c r="N4" s="43">
        <v>2329470</v>
      </c>
      <c r="O4" s="43">
        <v>10260958</v>
      </c>
    </row>
    <row r="5" spans="1:15" x14ac:dyDescent="0.3">
      <c r="A5" s="40">
        <v>42396.052608437501</v>
      </c>
      <c r="B5" t="s">
        <v>58</v>
      </c>
      <c r="C5">
        <v>35</v>
      </c>
      <c r="D5" s="14">
        <f>VLOOKUP(Добавить1[[#This Row],[Товар]],$G$1:$H$14,2,0)*Добавить1[[#This Row],[количество_единиц_товара]]</f>
        <v>155925</v>
      </c>
      <c r="E5" t="s">
        <v>66</v>
      </c>
      <c r="F5" s="14" t="s">
        <v>93</v>
      </c>
      <c r="G5" s="32" t="s">
        <v>52</v>
      </c>
      <c r="H5" s="32">
        <v>680</v>
      </c>
      <c r="J5" s="42" t="s">
        <v>88</v>
      </c>
      <c r="K5" s="43">
        <v>2156012</v>
      </c>
      <c r="L5" s="43">
        <v>2656881</v>
      </c>
      <c r="M5" s="43">
        <v>2553694</v>
      </c>
      <c r="N5" s="43">
        <v>2481183</v>
      </c>
      <c r="O5" s="43">
        <v>9847770</v>
      </c>
    </row>
    <row r="6" spans="1:15" x14ac:dyDescent="0.3">
      <c r="A6" s="40">
        <v>42403.713688298609</v>
      </c>
      <c r="B6" t="s">
        <v>53</v>
      </c>
      <c r="C6">
        <v>29</v>
      </c>
      <c r="D6" s="14">
        <f>VLOOKUP(Добавить1[[#This Row],[Товар]],$G$1:$H$14,2,0)*Добавить1[[#This Row],[количество_единиц_товара]]</f>
        <v>51852</v>
      </c>
      <c r="E6" t="s">
        <v>68</v>
      </c>
      <c r="F6" s="14" t="s">
        <v>93</v>
      </c>
      <c r="G6" s="32" t="s">
        <v>53</v>
      </c>
      <c r="H6" s="32">
        <v>1788</v>
      </c>
      <c r="J6" s="42" t="s">
        <v>89</v>
      </c>
      <c r="K6" s="43">
        <v>2513033</v>
      </c>
      <c r="L6" s="43">
        <v>1990374</v>
      </c>
      <c r="M6" s="43">
        <v>2680357</v>
      </c>
      <c r="N6" s="43">
        <v>2030807</v>
      </c>
      <c r="O6" s="43">
        <v>9214571</v>
      </c>
    </row>
    <row r="7" spans="1:15" x14ac:dyDescent="0.3">
      <c r="A7" s="40">
        <v>42407.947559525463</v>
      </c>
      <c r="B7" t="s">
        <v>51</v>
      </c>
      <c r="C7">
        <v>26</v>
      </c>
      <c r="D7" s="14">
        <f>VLOOKUP(Добавить1[[#This Row],[Товар]],$G$1:$H$14,2,0)*Добавить1[[#This Row],[количество_единиц_товара]]</f>
        <v>66560</v>
      </c>
      <c r="E7" t="s">
        <v>68</v>
      </c>
      <c r="F7" s="14" t="s">
        <v>93</v>
      </c>
      <c r="G7" s="32" t="s">
        <v>54</v>
      </c>
      <c r="H7" s="32">
        <v>2450</v>
      </c>
      <c r="J7" s="42" t="s">
        <v>90</v>
      </c>
      <c r="K7" s="43">
        <v>2218580</v>
      </c>
      <c r="L7" s="43">
        <v>2710371</v>
      </c>
      <c r="M7" s="43">
        <v>3387188</v>
      </c>
      <c r="N7" s="43">
        <v>2385127</v>
      </c>
      <c r="O7" s="43">
        <v>10701266</v>
      </c>
    </row>
    <row r="8" spans="1:15" x14ac:dyDescent="0.3">
      <c r="A8" s="40">
        <v>42422.929697361113</v>
      </c>
      <c r="B8" t="s">
        <v>52</v>
      </c>
      <c r="C8">
        <v>23</v>
      </c>
      <c r="D8" s="14">
        <f>VLOOKUP(Добавить1[[#This Row],[Товар]],$G$1:$H$14,2,0)*Добавить1[[#This Row],[количество_единиц_товара]]</f>
        <v>15640</v>
      </c>
      <c r="E8" t="s">
        <v>68</v>
      </c>
      <c r="F8" s="14" t="s">
        <v>93</v>
      </c>
      <c r="G8" s="32" t="s">
        <v>55</v>
      </c>
      <c r="H8" s="32">
        <v>4500</v>
      </c>
      <c r="J8" s="42" t="s">
        <v>91</v>
      </c>
      <c r="K8" s="43">
        <v>1542632</v>
      </c>
      <c r="L8" s="43">
        <v>1974241</v>
      </c>
      <c r="M8" s="43">
        <v>1356046</v>
      </c>
      <c r="N8" s="43">
        <v>2342699</v>
      </c>
      <c r="O8" s="43">
        <v>7215618</v>
      </c>
    </row>
    <row r="9" spans="1:15" x14ac:dyDescent="0.3">
      <c r="A9" s="40">
        <v>42430.915009930555</v>
      </c>
      <c r="B9" t="s">
        <v>56</v>
      </c>
      <c r="C9">
        <v>22</v>
      </c>
      <c r="D9" s="14">
        <f>VLOOKUP(Добавить1[[#This Row],[Товар]],$G$1:$H$14,2,0)*Добавить1[[#This Row],[количество_единиц_товара]]</f>
        <v>35200</v>
      </c>
      <c r="E9" t="s">
        <v>68</v>
      </c>
      <c r="F9" s="14" t="s">
        <v>93</v>
      </c>
      <c r="G9" s="32" t="s">
        <v>56</v>
      </c>
      <c r="H9" s="32">
        <v>1600</v>
      </c>
      <c r="J9" s="42" t="s">
        <v>103</v>
      </c>
      <c r="K9" s="43">
        <v>14425725</v>
      </c>
      <c r="L9" s="43">
        <v>14276549</v>
      </c>
      <c r="M9" s="43">
        <v>14644770</v>
      </c>
      <c r="N9" s="43">
        <v>13942589</v>
      </c>
      <c r="O9" s="43">
        <v>57289633</v>
      </c>
    </row>
    <row r="10" spans="1:15" x14ac:dyDescent="0.3">
      <c r="A10" s="40">
        <v>42439.666330925924</v>
      </c>
      <c r="B10" t="s">
        <v>49</v>
      </c>
      <c r="C10">
        <v>29</v>
      </c>
      <c r="D10" s="14">
        <f>VLOOKUP(Добавить1[[#This Row],[Товар]],$G$1:$H$14,2,0)*Добавить1[[#This Row],[количество_единиц_товара]]</f>
        <v>89900</v>
      </c>
      <c r="E10" t="s">
        <v>68</v>
      </c>
      <c r="F10" s="14" t="s">
        <v>93</v>
      </c>
      <c r="G10" s="32" t="s">
        <v>57</v>
      </c>
      <c r="H10" s="32">
        <v>3796</v>
      </c>
    </row>
    <row r="11" spans="1:15" x14ac:dyDescent="0.3">
      <c r="A11" s="40">
        <v>42467.98577175926</v>
      </c>
      <c r="B11" t="s">
        <v>56</v>
      </c>
      <c r="C11">
        <v>10</v>
      </c>
      <c r="D11" s="14">
        <f>VLOOKUP(Добавить1[[#This Row],[Товар]],$G$1:$H$14,2,0)*Добавить1[[#This Row],[количество_единиц_товара]]</f>
        <v>16000</v>
      </c>
      <c r="E11" t="s">
        <v>68</v>
      </c>
      <c r="F11" s="14" t="s">
        <v>93</v>
      </c>
      <c r="G11" s="32" t="s">
        <v>58</v>
      </c>
      <c r="H11" s="32">
        <v>4455</v>
      </c>
    </row>
    <row r="12" spans="1:15" x14ac:dyDescent="0.3">
      <c r="A12" s="40">
        <v>42475.270452326389</v>
      </c>
      <c r="B12" t="s">
        <v>52</v>
      </c>
      <c r="C12">
        <v>39</v>
      </c>
      <c r="D12" s="14">
        <f>VLOOKUP(Добавить1[[#This Row],[Товар]],$G$1:$H$14,2,0)*Добавить1[[#This Row],[количество_единиц_товара]]</f>
        <v>26520</v>
      </c>
      <c r="E12" t="s">
        <v>68</v>
      </c>
      <c r="F12" s="14" t="s">
        <v>93</v>
      </c>
      <c r="G12" s="32" t="s">
        <v>59</v>
      </c>
      <c r="H12" s="32">
        <v>2000</v>
      </c>
    </row>
    <row r="13" spans="1:15" x14ac:dyDescent="0.3">
      <c r="A13" s="40">
        <v>42479.659632986113</v>
      </c>
      <c r="B13" t="s">
        <v>52</v>
      </c>
      <c r="C13">
        <v>22</v>
      </c>
      <c r="D13" s="14">
        <f>VLOOKUP(Добавить1[[#This Row],[Товар]],$G$1:$H$14,2,0)*Добавить1[[#This Row],[количество_единиц_товара]]</f>
        <v>14960</v>
      </c>
      <c r="E13" t="s">
        <v>68</v>
      </c>
      <c r="F13" s="14" t="s">
        <v>93</v>
      </c>
      <c r="G13" s="32" t="s">
        <v>60</v>
      </c>
      <c r="H13" s="32">
        <v>5789</v>
      </c>
    </row>
    <row r="14" spans="1:15" x14ac:dyDescent="0.3">
      <c r="A14" s="40">
        <v>42480.697064537038</v>
      </c>
      <c r="B14" t="s">
        <v>59</v>
      </c>
      <c r="C14">
        <v>14</v>
      </c>
      <c r="D14" s="14">
        <f>VLOOKUP(Добавить1[[#This Row],[Товар]],$G$1:$H$14,2,0)*Добавить1[[#This Row],[количество_единиц_товара]]</f>
        <v>28000</v>
      </c>
      <c r="E14" t="s">
        <v>66</v>
      </c>
      <c r="F14" s="14" t="s">
        <v>93</v>
      </c>
      <c r="G14" s="32" t="s">
        <v>61</v>
      </c>
      <c r="H14" s="32">
        <v>3470</v>
      </c>
    </row>
    <row r="15" spans="1:15" x14ac:dyDescent="0.3">
      <c r="A15" s="40">
        <v>42483.325269525463</v>
      </c>
      <c r="B15" t="s">
        <v>54</v>
      </c>
      <c r="C15">
        <v>28</v>
      </c>
      <c r="D15" s="14">
        <f>VLOOKUP(Добавить1[[#This Row],[Товар]],$G$1:$H$14,2,0)*Добавить1[[#This Row],[количество_единиц_товара]]</f>
        <v>68600</v>
      </c>
      <c r="E15" t="s">
        <v>67</v>
      </c>
      <c r="F15" s="14" t="s">
        <v>93</v>
      </c>
    </row>
    <row r="16" spans="1:15" x14ac:dyDescent="0.3">
      <c r="A16" s="40">
        <v>42495.657398240743</v>
      </c>
      <c r="B16" t="s">
        <v>49</v>
      </c>
      <c r="C16">
        <v>22</v>
      </c>
      <c r="D16" s="14">
        <f>VLOOKUP(Добавить1[[#This Row],[Товар]],$G$1:$H$14,2,0)*Добавить1[[#This Row],[количество_единиц_товара]]</f>
        <v>68200</v>
      </c>
      <c r="E16" t="s">
        <v>66</v>
      </c>
      <c r="F16" s="14" t="s">
        <v>93</v>
      </c>
    </row>
    <row r="17" spans="1:6" x14ac:dyDescent="0.3">
      <c r="A17" s="40">
        <v>42513.53932895833</v>
      </c>
      <c r="B17" t="s">
        <v>50</v>
      </c>
      <c r="C17">
        <v>22</v>
      </c>
      <c r="D17" s="14">
        <f>VLOOKUP(Добавить1[[#This Row],[Товар]],$G$1:$H$14,2,0)*Добавить1[[#This Row],[количество_единиц_товара]]</f>
        <v>48400</v>
      </c>
      <c r="E17" t="s">
        <v>66</v>
      </c>
      <c r="F17" s="14" t="s">
        <v>93</v>
      </c>
    </row>
    <row r="18" spans="1:6" x14ac:dyDescent="0.3">
      <c r="A18" s="40">
        <v>42524.252401655096</v>
      </c>
      <c r="B18" t="s">
        <v>49</v>
      </c>
      <c r="C18">
        <v>39</v>
      </c>
      <c r="D18" s="14">
        <f>VLOOKUP(Добавить1[[#This Row],[Товар]],$G$1:$H$14,2,0)*Добавить1[[#This Row],[количество_единиц_товара]]</f>
        <v>120900</v>
      </c>
      <c r="E18" t="s">
        <v>67</v>
      </c>
      <c r="F18" s="14" t="s">
        <v>93</v>
      </c>
    </row>
    <row r="19" spans="1:6" x14ac:dyDescent="0.3">
      <c r="A19" s="40">
        <v>42532.015400081022</v>
      </c>
      <c r="B19" t="s">
        <v>61</v>
      </c>
      <c r="C19">
        <v>12</v>
      </c>
      <c r="D19" s="14">
        <f>VLOOKUP(Добавить1[[#This Row],[Товар]],$G$1:$H$14,2,0)*Добавить1[[#This Row],[количество_единиц_товара]]</f>
        <v>41640</v>
      </c>
      <c r="E19" t="s">
        <v>66</v>
      </c>
      <c r="F19" s="14" t="s">
        <v>93</v>
      </c>
    </row>
    <row r="20" spans="1:6" x14ac:dyDescent="0.3">
      <c r="A20" s="40">
        <v>42536.243877986111</v>
      </c>
      <c r="B20" t="s">
        <v>51</v>
      </c>
      <c r="C20">
        <v>16</v>
      </c>
      <c r="D20" s="14">
        <f>VLOOKUP(Добавить1[[#This Row],[Товар]],$G$1:$H$14,2,0)*Добавить1[[#This Row],[количество_единиц_товара]]</f>
        <v>40960</v>
      </c>
      <c r="E20" t="s">
        <v>66</v>
      </c>
      <c r="F20" s="14" t="s">
        <v>93</v>
      </c>
    </row>
    <row r="21" spans="1:6" x14ac:dyDescent="0.3">
      <c r="A21" s="40">
        <v>42540.788159548611</v>
      </c>
      <c r="B21" t="s">
        <v>58</v>
      </c>
      <c r="C21">
        <v>37</v>
      </c>
      <c r="D21" s="14">
        <f>VLOOKUP(Добавить1[[#This Row],[Товар]],$G$1:$H$14,2,0)*Добавить1[[#This Row],[количество_единиц_товара]]</f>
        <v>164835</v>
      </c>
      <c r="E21" t="s">
        <v>67</v>
      </c>
      <c r="F21" s="14" t="s">
        <v>93</v>
      </c>
    </row>
    <row r="22" spans="1:6" x14ac:dyDescent="0.3">
      <c r="A22" s="40">
        <v>42551.354121273151</v>
      </c>
      <c r="B22" t="s">
        <v>54</v>
      </c>
      <c r="C22">
        <v>27</v>
      </c>
      <c r="D22" s="14">
        <f>VLOOKUP(Добавить1[[#This Row],[Товар]],$G$1:$H$14,2,0)*Добавить1[[#This Row],[количество_единиц_товара]]</f>
        <v>66150</v>
      </c>
      <c r="E22" t="s">
        <v>66</v>
      </c>
      <c r="F22" s="14" t="s">
        <v>93</v>
      </c>
    </row>
    <row r="23" spans="1:6" x14ac:dyDescent="0.3">
      <c r="A23" s="40">
        <v>42558.120028425925</v>
      </c>
      <c r="B23" t="s">
        <v>60</v>
      </c>
      <c r="C23">
        <v>36</v>
      </c>
      <c r="D23" s="14">
        <f>VLOOKUP(Добавить1[[#This Row],[Товар]],$G$1:$H$14,2,0)*Добавить1[[#This Row],[количество_единиц_товара]]</f>
        <v>208404</v>
      </c>
      <c r="E23" t="s">
        <v>66</v>
      </c>
      <c r="F23" s="14" t="s">
        <v>93</v>
      </c>
    </row>
    <row r="24" spans="1:6" x14ac:dyDescent="0.3">
      <c r="A24" s="40">
        <v>42558.869814652775</v>
      </c>
      <c r="B24" t="s">
        <v>54</v>
      </c>
      <c r="C24">
        <v>37</v>
      </c>
      <c r="D24" s="14">
        <f>VLOOKUP(Добавить1[[#This Row],[Товар]],$G$1:$H$14,2,0)*Добавить1[[#This Row],[количество_единиц_товара]]</f>
        <v>90650</v>
      </c>
      <c r="E24" t="s">
        <v>67</v>
      </c>
      <c r="F24" s="14" t="s">
        <v>93</v>
      </c>
    </row>
    <row r="25" spans="1:6" x14ac:dyDescent="0.3">
      <c r="A25" s="40">
        <v>42567.748601724539</v>
      </c>
      <c r="B25" t="s">
        <v>60</v>
      </c>
      <c r="C25">
        <v>17</v>
      </c>
      <c r="D25" s="14">
        <f>VLOOKUP(Добавить1[[#This Row],[Товар]],$G$1:$H$14,2,0)*Добавить1[[#This Row],[количество_единиц_товара]]</f>
        <v>98413</v>
      </c>
      <c r="E25" t="s">
        <v>66</v>
      </c>
      <c r="F25" s="14" t="s">
        <v>93</v>
      </c>
    </row>
    <row r="26" spans="1:6" x14ac:dyDescent="0.3">
      <c r="A26" s="40">
        <v>42582.421839918985</v>
      </c>
      <c r="B26" t="s">
        <v>59</v>
      </c>
      <c r="C26">
        <v>39</v>
      </c>
      <c r="D26" s="14">
        <f>VLOOKUP(Добавить1[[#This Row],[Товар]],$G$1:$H$14,2,0)*Добавить1[[#This Row],[количество_единиц_товара]]</f>
        <v>78000</v>
      </c>
      <c r="E26" t="s">
        <v>66</v>
      </c>
      <c r="F26" s="14" t="s">
        <v>93</v>
      </c>
    </row>
    <row r="27" spans="1:6" x14ac:dyDescent="0.3">
      <c r="A27" s="40">
        <v>42593.594756979168</v>
      </c>
      <c r="B27" t="s">
        <v>52</v>
      </c>
      <c r="C27">
        <v>39</v>
      </c>
      <c r="D27" s="14">
        <f>VLOOKUP(Добавить1[[#This Row],[Товар]],$G$1:$H$14,2,0)*Добавить1[[#This Row],[количество_единиц_товара]]</f>
        <v>26520</v>
      </c>
      <c r="E27" t="s">
        <v>67</v>
      </c>
      <c r="F27" s="14" t="s">
        <v>93</v>
      </c>
    </row>
    <row r="28" spans="1:6" x14ac:dyDescent="0.3">
      <c r="A28" s="40">
        <v>42597.367198680557</v>
      </c>
      <c r="B28" t="s">
        <v>59</v>
      </c>
      <c r="C28">
        <v>35</v>
      </c>
      <c r="D28" s="14">
        <f>VLOOKUP(Добавить1[[#This Row],[Товар]],$G$1:$H$14,2,0)*Добавить1[[#This Row],[количество_единиц_товара]]</f>
        <v>70000</v>
      </c>
      <c r="E28" t="s">
        <v>66</v>
      </c>
      <c r="F28" s="14" t="s">
        <v>93</v>
      </c>
    </row>
    <row r="29" spans="1:6" x14ac:dyDescent="0.3">
      <c r="A29" s="40">
        <v>42603.495817210649</v>
      </c>
      <c r="B29" t="s">
        <v>51</v>
      </c>
      <c r="C29">
        <v>27</v>
      </c>
      <c r="D29" s="14">
        <f>VLOOKUP(Добавить1[[#This Row],[Товар]],$G$1:$H$14,2,0)*Добавить1[[#This Row],[количество_единиц_товара]]</f>
        <v>69120</v>
      </c>
      <c r="E29" t="s">
        <v>66</v>
      </c>
      <c r="F29" s="14" t="s">
        <v>93</v>
      </c>
    </row>
    <row r="30" spans="1:6" x14ac:dyDescent="0.3">
      <c r="A30" s="40">
        <v>42614.976731469906</v>
      </c>
      <c r="B30" t="s">
        <v>55</v>
      </c>
      <c r="C30">
        <v>36</v>
      </c>
      <c r="D30" s="14">
        <f>VLOOKUP(Добавить1[[#This Row],[Товар]],$G$1:$H$14,2,0)*Добавить1[[#This Row],[количество_единиц_товара]]</f>
        <v>162000</v>
      </c>
      <c r="E30" t="s">
        <v>67</v>
      </c>
      <c r="F30" s="14" t="s">
        <v>93</v>
      </c>
    </row>
    <row r="31" spans="1:6" x14ac:dyDescent="0.3">
      <c r="A31" s="40">
        <v>42625.594587569445</v>
      </c>
      <c r="B31" t="s">
        <v>57</v>
      </c>
      <c r="C31">
        <v>15</v>
      </c>
      <c r="D31" s="14">
        <f>VLOOKUP(Добавить1[[#This Row],[Товар]],$G$1:$H$14,2,0)*Добавить1[[#This Row],[количество_единиц_товара]]</f>
        <v>56940</v>
      </c>
      <c r="E31" t="s">
        <v>66</v>
      </c>
      <c r="F31" s="14" t="s">
        <v>93</v>
      </c>
    </row>
    <row r="32" spans="1:6" x14ac:dyDescent="0.3">
      <c r="A32" s="40">
        <v>42643.441102268516</v>
      </c>
      <c r="B32" t="s">
        <v>59</v>
      </c>
      <c r="C32">
        <v>35</v>
      </c>
      <c r="D32" s="14">
        <f>VLOOKUP(Добавить1[[#This Row],[Товар]],$G$1:$H$14,2,0)*Добавить1[[#This Row],[количество_единиц_товара]]</f>
        <v>70000</v>
      </c>
      <c r="E32" t="s">
        <v>66</v>
      </c>
      <c r="F32" s="14" t="s">
        <v>93</v>
      </c>
    </row>
    <row r="33" spans="1:6" x14ac:dyDescent="0.3">
      <c r="A33" s="40">
        <v>42647.717206354166</v>
      </c>
      <c r="B33" t="s">
        <v>54</v>
      </c>
      <c r="C33">
        <v>33</v>
      </c>
      <c r="D33" s="14">
        <f>VLOOKUP(Добавить1[[#This Row],[Товар]],$G$1:$H$14,2,0)*Добавить1[[#This Row],[количество_единиц_товара]]</f>
        <v>80850</v>
      </c>
      <c r="E33" t="s">
        <v>66</v>
      </c>
      <c r="F33" s="14" t="s">
        <v>93</v>
      </c>
    </row>
    <row r="34" spans="1:6" x14ac:dyDescent="0.3">
      <c r="A34" s="40">
        <v>42655.923075706021</v>
      </c>
      <c r="B34" t="s">
        <v>58</v>
      </c>
      <c r="C34">
        <v>18</v>
      </c>
      <c r="D34" s="14">
        <f>VLOOKUP(Добавить1[[#This Row],[Товар]],$G$1:$H$14,2,0)*Добавить1[[#This Row],[количество_единиц_товара]]</f>
        <v>80190</v>
      </c>
      <c r="E34" t="s">
        <v>66</v>
      </c>
      <c r="F34" s="14" t="s">
        <v>93</v>
      </c>
    </row>
    <row r="35" spans="1:6" x14ac:dyDescent="0.3">
      <c r="A35" s="40">
        <v>42657.196743078704</v>
      </c>
      <c r="B35" t="s">
        <v>59</v>
      </c>
      <c r="C35">
        <v>26</v>
      </c>
      <c r="D35" s="14">
        <f>VLOOKUP(Добавить1[[#This Row],[Товар]],$G$1:$H$14,2,0)*Добавить1[[#This Row],[количество_единиц_товара]]</f>
        <v>52000</v>
      </c>
      <c r="E35" t="s">
        <v>68</v>
      </c>
      <c r="F35" s="14" t="s">
        <v>93</v>
      </c>
    </row>
    <row r="36" spans="1:6" x14ac:dyDescent="0.3">
      <c r="A36" s="40">
        <v>42663.293189745367</v>
      </c>
      <c r="B36" t="s">
        <v>51</v>
      </c>
      <c r="C36">
        <v>40</v>
      </c>
      <c r="D36" s="14">
        <f>VLOOKUP(Добавить1[[#This Row],[Товар]],$G$1:$H$14,2,0)*Добавить1[[#This Row],[количество_единиц_товара]]</f>
        <v>102400</v>
      </c>
      <c r="E36" t="s">
        <v>68</v>
      </c>
      <c r="F36" s="14" t="s">
        <v>93</v>
      </c>
    </row>
    <row r="37" spans="1:6" x14ac:dyDescent="0.3">
      <c r="A37" s="40">
        <v>42671.163895254627</v>
      </c>
      <c r="B37" t="s">
        <v>58</v>
      </c>
      <c r="C37">
        <v>25</v>
      </c>
      <c r="D37" s="14">
        <f>VLOOKUP(Добавить1[[#This Row],[Товар]],$G$1:$H$14,2,0)*Добавить1[[#This Row],[количество_единиц_товара]]</f>
        <v>111375</v>
      </c>
      <c r="E37" t="s">
        <v>68</v>
      </c>
      <c r="F37" s="14" t="s">
        <v>93</v>
      </c>
    </row>
    <row r="38" spans="1:6" x14ac:dyDescent="0.3">
      <c r="A38" s="40">
        <v>42674.400286990742</v>
      </c>
      <c r="B38" t="s">
        <v>51</v>
      </c>
      <c r="C38">
        <v>16</v>
      </c>
      <c r="D38" s="14">
        <f>VLOOKUP(Добавить1[[#This Row],[Товар]],$G$1:$H$14,2,0)*Добавить1[[#This Row],[количество_единиц_товара]]</f>
        <v>40960</v>
      </c>
      <c r="E38" t="s">
        <v>66</v>
      </c>
      <c r="F38" s="14" t="s">
        <v>93</v>
      </c>
    </row>
    <row r="39" spans="1:6" x14ac:dyDescent="0.3">
      <c r="A39" s="40">
        <v>42687.754551030092</v>
      </c>
      <c r="B39" t="s">
        <v>55</v>
      </c>
      <c r="C39">
        <v>35</v>
      </c>
      <c r="D39" s="14">
        <f>VLOOKUP(Добавить1[[#This Row],[Товар]],$G$1:$H$14,2,0)*Добавить1[[#This Row],[количество_единиц_товара]]</f>
        <v>157500</v>
      </c>
      <c r="E39" t="s">
        <v>67</v>
      </c>
      <c r="F39" s="14" t="s">
        <v>93</v>
      </c>
    </row>
    <row r="40" spans="1:6" x14ac:dyDescent="0.3">
      <c r="A40" s="40">
        <v>42698.369565243054</v>
      </c>
      <c r="B40" t="s">
        <v>58</v>
      </c>
      <c r="C40">
        <v>39</v>
      </c>
      <c r="D40" s="14">
        <f>VLOOKUP(Добавить1[[#This Row],[Товар]],$G$1:$H$14,2,0)*Добавить1[[#This Row],[количество_единиц_товара]]</f>
        <v>173745</v>
      </c>
      <c r="E40" t="s">
        <v>66</v>
      </c>
      <c r="F40" s="14" t="s">
        <v>93</v>
      </c>
    </row>
    <row r="41" spans="1:6" x14ac:dyDescent="0.3">
      <c r="A41" s="40">
        <v>42722.51697827546</v>
      </c>
      <c r="B41" t="s">
        <v>52</v>
      </c>
      <c r="C41">
        <v>30</v>
      </c>
      <c r="D41" s="14">
        <f>VLOOKUP(Добавить1[[#This Row],[Товар]],$G$1:$H$14,2,0)*Добавить1[[#This Row],[количество_единиц_товара]]</f>
        <v>20400</v>
      </c>
      <c r="E41" t="s">
        <v>66</v>
      </c>
      <c r="F41" s="14" t="s">
        <v>93</v>
      </c>
    </row>
    <row r="42" spans="1:6" x14ac:dyDescent="0.3">
      <c r="A42" s="40">
        <v>42725.798662141206</v>
      </c>
      <c r="B42" t="s">
        <v>52</v>
      </c>
      <c r="C42">
        <v>30</v>
      </c>
      <c r="D42" s="14">
        <f>VLOOKUP(Добавить1[[#This Row],[Товар]],$G$1:$H$14,2,0)*Добавить1[[#This Row],[количество_единиц_товара]]</f>
        <v>20400</v>
      </c>
      <c r="E42" t="s">
        <v>67</v>
      </c>
      <c r="F42" s="14" t="s">
        <v>93</v>
      </c>
    </row>
    <row r="43" spans="1:6" x14ac:dyDescent="0.3">
      <c r="A43" s="40">
        <v>42740.126617847221</v>
      </c>
      <c r="B43" t="s">
        <v>59</v>
      </c>
      <c r="C43">
        <v>28</v>
      </c>
      <c r="D43" s="14">
        <f>VLOOKUP(Добавить1[[#This Row],[Товар]],$G$1:$H$14,2,0)*Добавить1[[#This Row],[количество_единиц_товара]]</f>
        <v>56000</v>
      </c>
      <c r="E43" t="s">
        <v>66</v>
      </c>
      <c r="F43" s="14" t="s">
        <v>93</v>
      </c>
    </row>
    <row r="44" spans="1:6" x14ac:dyDescent="0.3">
      <c r="A44" s="40">
        <v>42744.899128067133</v>
      </c>
      <c r="B44" t="s">
        <v>59</v>
      </c>
      <c r="C44">
        <v>35</v>
      </c>
      <c r="D44" s="14">
        <f>VLOOKUP(Добавить1[[#This Row],[Товар]],$G$1:$H$14,2,0)*Добавить1[[#This Row],[количество_единиц_товара]]</f>
        <v>70000</v>
      </c>
      <c r="E44" t="s">
        <v>66</v>
      </c>
      <c r="F44" s="14" t="s">
        <v>93</v>
      </c>
    </row>
    <row r="45" spans="1:6" x14ac:dyDescent="0.3">
      <c r="A45" s="40">
        <v>42748.407116145834</v>
      </c>
      <c r="B45" t="s">
        <v>50</v>
      </c>
      <c r="C45">
        <v>35</v>
      </c>
      <c r="D45" s="14">
        <f>VLOOKUP(Добавить1[[#This Row],[Товар]],$G$1:$H$14,2,0)*Добавить1[[#This Row],[количество_единиц_товара]]</f>
        <v>77000</v>
      </c>
      <c r="E45" t="s">
        <v>67</v>
      </c>
      <c r="F45" s="14" t="s">
        <v>93</v>
      </c>
    </row>
    <row r="46" spans="1:6" x14ac:dyDescent="0.3">
      <c r="A46" s="40">
        <v>42754.536133958332</v>
      </c>
      <c r="B46" t="s">
        <v>52</v>
      </c>
      <c r="C46">
        <v>27</v>
      </c>
      <c r="D46" s="14">
        <f>VLOOKUP(Добавить1[[#This Row],[Товар]],$G$1:$H$14,2,0)*Добавить1[[#This Row],[количество_единиц_товара]]</f>
        <v>18360</v>
      </c>
      <c r="E46" t="s">
        <v>66</v>
      </c>
      <c r="F46" s="14" t="s">
        <v>93</v>
      </c>
    </row>
    <row r="47" spans="1:6" x14ac:dyDescent="0.3">
      <c r="A47" s="40">
        <v>42779.707061620371</v>
      </c>
      <c r="B47" t="s">
        <v>51</v>
      </c>
      <c r="C47">
        <v>21</v>
      </c>
      <c r="D47" s="14">
        <f>VLOOKUP(Добавить1[[#This Row],[Товар]],$G$1:$H$14,2,0)*Добавить1[[#This Row],[количество_единиц_товара]]</f>
        <v>53760</v>
      </c>
      <c r="E47" t="s">
        <v>66</v>
      </c>
      <c r="F47" s="14" t="s">
        <v>93</v>
      </c>
    </row>
    <row r="48" spans="1:6" x14ac:dyDescent="0.3">
      <c r="A48" s="40">
        <v>42783.481084375002</v>
      </c>
      <c r="B48" t="s">
        <v>54</v>
      </c>
      <c r="C48">
        <v>30</v>
      </c>
      <c r="D48" s="14">
        <f>VLOOKUP(Добавить1[[#This Row],[Товар]],$G$1:$H$14,2,0)*Добавить1[[#This Row],[количество_единиц_товара]]</f>
        <v>73500</v>
      </c>
      <c r="E48" t="s">
        <v>66</v>
      </c>
      <c r="F48" s="14" t="s">
        <v>93</v>
      </c>
    </row>
    <row r="49" spans="1:15" x14ac:dyDescent="0.3">
      <c r="A49" s="40">
        <v>42785.60452645833</v>
      </c>
      <c r="B49" t="s">
        <v>58</v>
      </c>
      <c r="C49">
        <v>11</v>
      </c>
      <c r="D49" s="14">
        <f>VLOOKUP(Добавить1[[#This Row],[Товар]],$G$1:$H$14,2,0)*Добавить1[[#This Row],[количество_единиц_товара]]</f>
        <v>49005</v>
      </c>
      <c r="E49" t="s">
        <v>68</v>
      </c>
      <c r="F49" s="14" t="s">
        <v>93</v>
      </c>
    </row>
    <row r="50" spans="1:15" x14ac:dyDescent="0.3">
      <c r="A50" s="40">
        <v>42797.68630415509</v>
      </c>
      <c r="B50" t="s">
        <v>49</v>
      </c>
      <c r="C50">
        <v>11</v>
      </c>
      <c r="D50" s="14">
        <f>VLOOKUP(Добавить1[[#This Row],[Товар]],$G$1:$H$14,2,0)*Добавить1[[#This Row],[количество_единиц_товара]]</f>
        <v>34100</v>
      </c>
      <c r="E50" t="s">
        <v>68</v>
      </c>
      <c r="F50" s="14" t="s">
        <v>93</v>
      </c>
    </row>
    <row r="51" spans="1:15" x14ac:dyDescent="0.3">
      <c r="A51" s="40">
        <v>42815.676426342594</v>
      </c>
      <c r="B51" t="s">
        <v>58</v>
      </c>
      <c r="C51">
        <v>12</v>
      </c>
      <c r="D51" s="14">
        <f>VLOOKUP(Добавить1[[#This Row],[Товар]],$G$1:$H$14,2,0)*Добавить1[[#This Row],[количество_единиц_товара]]</f>
        <v>53460</v>
      </c>
      <c r="E51" t="s">
        <v>68</v>
      </c>
      <c r="F51" s="14" t="s">
        <v>93</v>
      </c>
    </row>
    <row r="52" spans="1:15" x14ac:dyDescent="0.3">
      <c r="A52" s="40">
        <v>42816.996650694447</v>
      </c>
      <c r="B52" t="s">
        <v>51</v>
      </c>
      <c r="C52">
        <v>15</v>
      </c>
      <c r="D52" s="14">
        <f>VLOOKUP(Добавить1[[#This Row],[Товар]],$G$1:$H$14,2,0)*Добавить1[[#This Row],[количество_единиц_товара]]</f>
        <v>38400</v>
      </c>
      <c r="E52" t="s">
        <v>66</v>
      </c>
      <c r="F52" s="14" t="s">
        <v>93</v>
      </c>
      <c r="N52" s="41" t="s">
        <v>84</v>
      </c>
      <c r="O52" t="s">
        <v>83</v>
      </c>
    </row>
    <row r="53" spans="1:15" x14ac:dyDescent="0.3">
      <c r="A53" s="40">
        <v>42817.948765682871</v>
      </c>
      <c r="B53" t="s">
        <v>49</v>
      </c>
      <c r="C53">
        <v>17</v>
      </c>
      <c r="D53" s="14">
        <f>VLOOKUP(Добавить1[[#This Row],[Товар]],$G$1:$H$14,2,0)*Добавить1[[#This Row],[количество_единиц_товара]]</f>
        <v>52700</v>
      </c>
      <c r="E53" t="s">
        <v>67</v>
      </c>
      <c r="F53" s="14" t="s">
        <v>93</v>
      </c>
      <c r="N53" s="42" t="s">
        <v>96</v>
      </c>
      <c r="O53" s="43">
        <v>5377</v>
      </c>
    </row>
    <row r="54" spans="1:15" x14ac:dyDescent="0.3">
      <c r="A54" s="40">
        <v>42827.33654585648</v>
      </c>
      <c r="B54" t="s">
        <v>60</v>
      </c>
      <c r="C54">
        <v>23</v>
      </c>
      <c r="D54" s="14">
        <f>VLOOKUP(Добавить1[[#This Row],[Товар]],$G$1:$H$14,2,0)*Добавить1[[#This Row],[количество_единиц_товара]]</f>
        <v>133147</v>
      </c>
      <c r="E54" t="s">
        <v>67</v>
      </c>
      <c r="F54" s="14" t="s">
        <v>93</v>
      </c>
      <c r="N54" s="42" t="s">
        <v>94</v>
      </c>
      <c r="O54" s="43">
        <v>5497</v>
      </c>
    </row>
    <row r="55" spans="1:15" x14ac:dyDescent="0.3">
      <c r="A55" s="40">
        <v>42830.805011469907</v>
      </c>
      <c r="B55" t="s">
        <v>55</v>
      </c>
      <c r="C55">
        <v>37</v>
      </c>
      <c r="D55" s="14">
        <f>VLOOKUP(Добавить1[[#This Row],[Товар]],$G$1:$H$14,2,0)*Добавить1[[#This Row],[количество_единиц_товара]]</f>
        <v>166500</v>
      </c>
      <c r="E55" t="s">
        <v>67</v>
      </c>
      <c r="F55" s="14" t="s">
        <v>93</v>
      </c>
      <c r="N55" s="42" t="s">
        <v>93</v>
      </c>
      <c r="O55" s="43">
        <v>5528</v>
      </c>
    </row>
    <row r="56" spans="1:15" x14ac:dyDescent="0.3">
      <c r="A56" s="40">
        <v>42833.666900150463</v>
      </c>
      <c r="B56" t="s">
        <v>50</v>
      </c>
      <c r="C56">
        <v>33</v>
      </c>
      <c r="D56" s="14">
        <f>VLOOKUP(Добавить1[[#This Row],[Товар]],$G$1:$H$14,2,0)*Добавить1[[#This Row],[количество_единиц_товара]]</f>
        <v>72600</v>
      </c>
      <c r="E56" t="s">
        <v>67</v>
      </c>
      <c r="F56" s="14" t="s">
        <v>93</v>
      </c>
      <c r="N56" s="42" t="s">
        <v>95</v>
      </c>
      <c r="O56" s="43">
        <v>5588</v>
      </c>
    </row>
    <row r="57" spans="1:15" x14ac:dyDescent="0.3">
      <c r="A57" s="40">
        <v>42838.313077928244</v>
      </c>
      <c r="B57" t="s">
        <v>49</v>
      </c>
      <c r="C57">
        <v>23</v>
      </c>
      <c r="D57" s="14">
        <f>VLOOKUP(Добавить1[[#This Row],[Товар]],$G$1:$H$14,2,0)*Добавить1[[#This Row],[количество_единиц_товара]]</f>
        <v>71300</v>
      </c>
      <c r="E57" t="s">
        <v>67</v>
      </c>
      <c r="F57" s="14" t="s">
        <v>93</v>
      </c>
      <c r="N57" s="42" t="s">
        <v>85</v>
      </c>
      <c r="O57" s="43">
        <v>21990</v>
      </c>
    </row>
    <row r="58" spans="1:15" x14ac:dyDescent="0.3">
      <c r="A58" s="40">
        <v>42841.780431782405</v>
      </c>
      <c r="B58" t="s">
        <v>54</v>
      </c>
      <c r="C58">
        <v>23</v>
      </c>
      <c r="D58" s="14">
        <f>VLOOKUP(Добавить1[[#This Row],[Товар]],$G$1:$H$14,2,0)*Добавить1[[#This Row],[количество_единиц_товара]]</f>
        <v>56350</v>
      </c>
      <c r="E58" t="s">
        <v>67</v>
      </c>
      <c r="F58" s="14" t="s">
        <v>93</v>
      </c>
    </row>
    <row r="59" spans="1:15" x14ac:dyDescent="0.3">
      <c r="A59" s="40">
        <v>42845.749747743059</v>
      </c>
      <c r="B59" t="s">
        <v>51</v>
      </c>
      <c r="C59">
        <v>11</v>
      </c>
      <c r="D59" s="14">
        <f>VLOOKUP(Добавить1[[#This Row],[Товар]],$G$1:$H$14,2,0)*Добавить1[[#This Row],[количество_единиц_товара]]</f>
        <v>28160</v>
      </c>
      <c r="E59" t="s">
        <v>67</v>
      </c>
      <c r="F59" s="14" t="s">
        <v>93</v>
      </c>
    </row>
    <row r="60" spans="1:15" x14ac:dyDescent="0.3">
      <c r="A60" s="40">
        <v>42846.46802688657</v>
      </c>
      <c r="B60" t="s">
        <v>49</v>
      </c>
      <c r="C60">
        <v>11</v>
      </c>
      <c r="D60" s="14">
        <f>VLOOKUP(Добавить1[[#This Row],[Товар]],$G$1:$H$14,2,0)*Добавить1[[#This Row],[количество_единиц_товара]]</f>
        <v>34100</v>
      </c>
      <c r="E60" t="s">
        <v>67</v>
      </c>
      <c r="F60" s="14" t="s">
        <v>93</v>
      </c>
    </row>
    <row r="61" spans="1:15" x14ac:dyDescent="0.3">
      <c r="A61" s="40">
        <v>42865.513237476851</v>
      </c>
      <c r="B61" t="s">
        <v>59</v>
      </c>
      <c r="C61">
        <v>37</v>
      </c>
      <c r="D61" s="14">
        <f>VLOOKUP(Добавить1[[#This Row],[Товар]],$G$1:$H$14,2,0)*Добавить1[[#This Row],[количество_единиц_товара]]</f>
        <v>74000</v>
      </c>
      <c r="E61" t="s">
        <v>66</v>
      </c>
      <c r="F61" s="14" t="s">
        <v>93</v>
      </c>
    </row>
    <row r="62" spans="1:15" x14ac:dyDescent="0.3">
      <c r="A62" s="40">
        <v>42875.664145972223</v>
      </c>
      <c r="B62" t="s">
        <v>58</v>
      </c>
      <c r="C62">
        <v>22</v>
      </c>
      <c r="D62" s="14">
        <f>VLOOKUP(Добавить1[[#This Row],[Товар]],$G$1:$H$14,2,0)*Добавить1[[#This Row],[количество_единиц_товара]]</f>
        <v>98010</v>
      </c>
      <c r="E62" t="s">
        <v>66</v>
      </c>
      <c r="F62" s="14" t="s">
        <v>93</v>
      </c>
    </row>
    <row r="63" spans="1:15" x14ac:dyDescent="0.3">
      <c r="A63" s="40">
        <v>42879.178582650464</v>
      </c>
      <c r="B63" t="s">
        <v>58</v>
      </c>
      <c r="C63">
        <v>32</v>
      </c>
      <c r="D63" s="14">
        <f>VLOOKUP(Добавить1[[#This Row],[Товар]],$G$1:$H$14,2,0)*Добавить1[[#This Row],[количество_единиц_товара]]</f>
        <v>142560</v>
      </c>
      <c r="E63" t="s">
        <v>68</v>
      </c>
      <c r="F63" s="14" t="s">
        <v>93</v>
      </c>
    </row>
    <row r="64" spans="1:15" x14ac:dyDescent="0.3">
      <c r="A64" s="40">
        <v>42885.422611319445</v>
      </c>
      <c r="B64" t="s">
        <v>51</v>
      </c>
      <c r="C64">
        <v>39</v>
      </c>
      <c r="D64" s="14">
        <f>VLOOKUP(Добавить1[[#This Row],[Товар]],$G$1:$H$14,2,0)*Добавить1[[#This Row],[количество_единиц_товара]]</f>
        <v>99840</v>
      </c>
      <c r="E64" t="s">
        <v>68</v>
      </c>
      <c r="F64" s="14" t="s">
        <v>93</v>
      </c>
    </row>
    <row r="65" spans="1:6" x14ac:dyDescent="0.3">
      <c r="A65" s="40">
        <v>42892.097382789354</v>
      </c>
      <c r="B65" t="s">
        <v>54</v>
      </c>
      <c r="C65">
        <v>13</v>
      </c>
      <c r="D65" s="14">
        <f>VLOOKUP(Добавить1[[#This Row],[Товар]],$G$1:$H$14,2,0)*Добавить1[[#This Row],[количество_единиц_товара]]</f>
        <v>31850</v>
      </c>
      <c r="E65" t="s">
        <v>68</v>
      </c>
      <c r="F65" s="14" t="s">
        <v>93</v>
      </c>
    </row>
    <row r="66" spans="1:6" x14ac:dyDescent="0.3">
      <c r="A66" s="40">
        <v>42894.879523414354</v>
      </c>
      <c r="B66" t="s">
        <v>52</v>
      </c>
      <c r="C66">
        <v>21</v>
      </c>
      <c r="D66" s="14">
        <f>VLOOKUP(Добавить1[[#This Row],[Товар]],$G$1:$H$14,2,0)*Добавить1[[#This Row],[количество_единиц_товара]]</f>
        <v>14280</v>
      </c>
      <c r="E66" t="s">
        <v>68</v>
      </c>
      <c r="F66" s="14" t="s">
        <v>93</v>
      </c>
    </row>
    <row r="67" spans="1:6" x14ac:dyDescent="0.3">
      <c r="A67" s="40">
        <v>42899.296644699076</v>
      </c>
      <c r="B67" t="s">
        <v>49</v>
      </c>
      <c r="C67">
        <v>24</v>
      </c>
      <c r="D67" s="14">
        <f>VLOOKUP(Добавить1[[#This Row],[Товар]],$G$1:$H$14,2,0)*Добавить1[[#This Row],[количество_единиц_товара]]</f>
        <v>74400</v>
      </c>
      <c r="E67" t="s">
        <v>68</v>
      </c>
      <c r="F67" s="14" t="s">
        <v>93</v>
      </c>
    </row>
    <row r="68" spans="1:6" x14ac:dyDescent="0.3">
      <c r="A68" s="40">
        <v>42901.117697499998</v>
      </c>
      <c r="B68" t="s">
        <v>53</v>
      </c>
      <c r="C68">
        <v>13</v>
      </c>
      <c r="D68" s="14">
        <f>VLOOKUP(Добавить1[[#This Row],[Товар]],$G$1:$H$14,2,0)*Добавить1[[#This Row],[количество_единиц_товара]]</f>
        <v>23244</v>
      </c>
      <c r="E68" t="s">
        <v>66</v>
      </c>
      <c r="F68" s="14" t="s">
        <v>93</v>
      </c>
    </row>
    <row r="69" spans="1:6" x14ac:dyDescent="0.3">
      <c r="A69" s="40">
        <v>42906.769554293984</v>
      </c>
      <c r="B69" t="s">
        <v>55</v>
      </c>
      <c r="C69">
        <v>26</v>
      </c>
      <c r="D69" s="14">
        <f>VLOOKUP(Добавить1[[#This Row],[Товар]],$G$1:$H$14,2,0)*Добавить1[[#This Row],[количество_единиц_товара]]</f>
        <v>117000</v>
      </c>
      <c r="E69" t="s">
        <v>67</v>
      </c>
      <c r="F69" s="14" t="s">
        <v>93</v>
      </c>
    </row>
    <row r="70" spans="1:6" x14ac:dyDescent="0.3">
      <c r="A70" s="40">
        <v>42914.247908888887</v>
      </c>
      <c r="B70" t="s">
        <v>51</v>
      </c>
      <c r="C70">
        <v>20</v>
      </c>
      <c r="D70" s="14">
        <f>VLOOKUP(Добавить1[[#This Row],[Товар]],$G$1:$H$14,2,0)*Добавить1[[#This Row],[количество_единиц_товара]]</f>
        <v>51200</v>
      </c>
      <c r="E70" t="s">
        <v>67</v>
      </c>
      <c r="F70" s="14" t="s">
        <v>93</v>
      </c>
    </row>
    <row r="71" spans="1:6" x14ac:dyDescent="0.3">
      <c r="A71" s="40">
        <v>42946.928572141202</v>
      </c>
      <c r="B71" t="s">
        <v>59</v>
      </c>
      <c r="C71">
        <v>28</v>
      </c>
      <c r="D71" s="14">
        <f>VLOOKUP(Добавить1[[#This Row],[Товар]],$G$1:$H$14,2,0)*Добавить1[[#This Row],[количество_единиц_товара]]</f>
        <v>56000</v>
      </c>
      <c r="E71" t="s">
        <v>66</v>
      </c>
      <c r="F71" s="14" t="s">
        <v>93</v>
      </c>
    </row>
    <row r="72" spans="1:6" x14ac:dyDescent="0.3">
      <c r="A72" s="40">
        <v>42963.410889363426</v>
      </c>
      <c r="B72" t="s">
        <v>52</v>
      </c>
      <c r="C72">
        <v>27</v>
      </c>
      <c r="D72" s="14">
        <f>VLOOKUP(Добавить1[[#This Row],[Товар]],$G$1:$H$14,2,0)*Добавить1[[#This Row],[количество_единиц_товара]]</f>
        <v>18360</v>
      </c>
      <c r="E72" t="s">
        <v>67</v>
      </c>
      <c r="F72" s="14" t="s">
        <v>93</v>
      </c>
    </row>
    <row r="73" spans="1:6" x14ac:dyDescent="0.3">
      <c r="A73" s="40">
        <v>42963.83588979167</v>
      </c>
      <c r="B73" t="s">
        <v>59</v>
      </c>
      <c r="C73">
        <v>22</v>
      </c>
      <c r="D73" s="14">
        <f>VLOOKUP(Добавить1[[#This Row],[Товар]],$G$1:$H$14,2,0)*Добавить1[[#This Row],[количество_единиц_товара]]</f>
        <v>44000</v>
      </c>
      <c r="E73" t="s">
        <v>67</v>
      </c>
      <c r="F73" s="14" t="s">
        <v>93</v>
      </c>
    </row>
    <row r="74" spans="1:6" x14ac:dyDescent="0.3">
      <c r="A74" s="40">
        <v>43004.514898587964</v>
      </c>
      <c r="B74" t="s">
        <v>58</v>
      </c>
      <c r="C74">
        <v>33</v>
      </c>
      <c r="D74" s="14">
        <f>VLOOKUP(Добавить1[[#This Row],[Товар]],$G$1:$H$14,2,0)*Добавить1[[#This Row],[количество_единиц_товара]]</f>
        <v>147015</v>
      </c>
      <c r="E74" t="s">
        <v>66</v>
      </c>
      <c r="F74" s="14" t="s">
        <v>93</v>
      </c>
    </row>
    <row r="75" spans="1:6" x14ac:dyDescent="0.3">
      <c r="A75" s="40">
        <v>43019.085691180553</v>
      </c>
      <c r="B75" t="s">
        <v>59</v>
      </c>
      <c r="C75">
        <v>22</v>
      </c>
      <c r="D75" s="14">
        <f>VLOOKUP(Добавить1[[#This Row],[Товар]],$G$1:$H$14,2,0)*Добавить1[[#This Row],[количество_единиц_товара]]</f>
        <v>44000</v>
      </c>
      <c r="E75" t="s">
        <v>67</v>
      </c>
      <c r="F75" s="14" t="s">
        <v>93</v>
      </c>
    </row>
    <row r="76" spans="1:6" x14ac:dyDescent="0.3">
      <c r="A76" s="40">
        <v>43019.387266898149</v>
      </c>
      <c r="B76" t="s">
        <v>57</v>
      </c>
      <c r="C76">
        <v>35</v>
      </c>
      <c r="D76" s="14">
        <f>VLOOKUP(Добавить1[[#This Row],[Товар]],$G$1:$H$14,2,0)*Добавить1[[#This Row],[количество_единиц_товара]]</f>
        <v>132860</v>
      </c>
      <c r="E76" t="s">
        <v>67</v>
      </c>
      <c r="F76" s="14" t="s">
        <v>93</v>
      </c>
    </row>
    <row r="77" spans="1:6" x14ac:dyDescent="0.3">
      <c r="A77" s="40">
        <v>43032.442486493055</v>
      </c>
      <c r="B77" t="s">
        <v>51</v>
      </c>
      <c r="C77">
        <v>27</v>
      </c>
      <c r="D77" s="14">
        <f>VLOOKUP(Добавить1[[#This Row],[Товар]],$G$1:$H$14,2,0)*Добавить1[[#This Row],[количество_единиц_товара]]</f>
        <v>69120</v>
      </c>
      <c r="E77" t="s">
        <v>68</v>
      </c>
      <c r="F77" s="14" t="s">
        <v>93</v>
      </c>
    </row>
    <row r="78" spans="1:6" x14ac:dyDescent="0.3">
      <c r="A78" s="40">
        <v>43033.002971516202</v>
      </c>
      <c r="B78" t="s">
        <v>55</v>
      </c>
      <c r="C78">
        <v>39</v>
      </c>
      <c r="D78" s="14">
        <f>VLOOKUP(Добавить1[[#This Row],[Товар]],$G$1:$H$14,2,0)*Добавить1[[#This Row],[количество_единиц_товара]]</f>
        <v>175500</v>
      </c>
      <c r="E78" t="s">
        <v>66</v>
      </c>
      <c r="F78" s="14" t="s">
        <v>93</v>
      </c>
    </row>
    <row r="79" spans="1:6" x14ac:dyDescent="0.3">
      <c r="A79" s="40">
        <v>43035.931211145835</v>
      </c>
      <c r="B79" t="s">
        <v>52</v>
      </c>
      <c r="C79">
        <v>24</v>
      </c>
      <c r="D79" s="14">
        <f>VLOOKUP(Добавить1[[#This Row],[Товар]],$G$1:$H$14,2,0)*Добавить1[[#This Row],[количество_единиц_товара]]</f>
        <v>16320</v>
      </c>
      <c r="E79" t="s">
        <v>67</v>
      </c>
      <c r="F79" s="14" t="s">
        <v>93</v>
      </c>
    </row>
    <row r="80" spans="1:6" x14ac:dyDescent="0.3">
      <c r="A80" s="40">
        <v>43038.408088449076</v>
      </c>
      <c r="B80" t="s">
        <v>56</v>
      </c>
      <c r="C80">
        <v>33</v>
      </c>
      <c r="D80" s="14">
        <f>VLOOKUP(Добавить1[[#This Row],[Товар]],$G$1:$H$14,2,0)*Добавить1[[#This Row],[количество_единиц_товара]]</f>
        <v>52800</v>
      </c>
      <c r="E80" t="s">
        <v>68</v>
      </c>
      <c r="F80" s="14" t="s">
        <v>93</v>
      </c>
    </row>
    <row r="81" spans="1:13" x14ac:dyDescent="0.3">
      <c r="A81" s="40">
        <v>43050.413220590279</v>
      </c>
      <c r="B81" t="s">
        <v>61</v>
      </c>
      <c r="C81">
        <v>21</v>
      </c>
      <c r="D81" s="14">
        <f>VLOOKUP(Добавить1[[#This Row],[Товар]],$G$1:$H$14,2,0)*Добавить1[[#This Row],[количество_единиц_товара]]</f>
        <v>72870</v>
      </c>
      <c r="E81" t="s">
        <v>66</v>
      </c>
      <c r="F81" s="14" t="s">
        <v>93</v>
      </c>
    </row>
    <row r="82" spans="1:13" x14ac:dyDescent="0.3">
      <c r="A82" s="40">
        <v>43075.740682824071</v>
      </c>
      <c r="B82" t="s">
        <v>54</v>
      </c>
      <c r="C82">
        <v>29</v>
      </c>
      <c r="D82" s="14">
        <f>VLOOKUP(Добавить1[[#This Row],[Товар]],$G$1:$H$14,2,0)*Добавить1[[#This Row],[количество_единиц_товара]]</f>
        <v>71050</v>
      </c>
      <c r="E82" t="s">
        <v>67</v>
      </c>
      <c r="F82" s="14" t="s">
        <v>93</v>
      </c>
    </row>
    <row r="83" spans="1:13" x14ac:dyDescent="0.3">
      <c r="A83" s="40">
        <v>43075.931076018518</v>
      </c>
      <c r="B83" t="s">
        <v>53</v>
      </c>
      <c r="C83">
        <v>16</v>
      </c>
      <c r="D83" s="14">
        <f>VLOOKUP(Добавить1[[#This Row],[Товар]],$G$1:$H$14,2,0)*Добавить1[[#This Row],[количество_единиц_товара]]</f>
        <v>28608</v>
      </c>
      <c r="E83" t="s">
        <v>68</v>
      </c>
      <c r="F83" s="14" t="s">
        <v>93</v>
      </c>
    </row>
    <row r="84" spans="1:13" x14ac:dyDescent="0.3">
      <c r="A84" s="40">
        <v>43093.961267106482</v>
      </c>
      <c r="B84" t="s">
        <v>57</v>
      </c>
      <c r="C84">
        <v>25</v>
      </c>
      <c r="D84" s="14">
        <f>VLOOKUP(Добавить1[[#This Row],[Товар]],$G$1:$H$14,2,0)*Добавить1[[#This Row],[количество_единиц_товара]]</f>
        <v>94900</v>
      </c>
      <c r="E84" t="s">
        <v>66</v>
      </c>
      <c r="F84" s="14" t="s">
        <v>93</v>
      </c>
    </row>
    <row r="85" spans="1:13" x14ac:dyDescent="0.3">
      <c r="A85" s="40">
        <v>43096.755389768521</v>
      </c>
      <c r="B85" t="s">
        <v>51</v>
      </c>
      <c r="C85">
        <v>19</v>
      </c>
      <c r="D85" s="14">
        <f>VLOOKUP(Добавить1[[#This Row],[Товар]],$G$1:$H$14,2,0)*Добавить1[[#This Row],[количество_единиц_товара]]</f>
        <v>48640</v>
      </c>
      <c r="E85" t="s">
        <v>67</v>
      </c>
      <c r="F85" s="14" t="s">
        <v>93</v>
      </c>
    </row>
    <row r="86" spans="1:13" x14ac:dyDescent="0.3">
      <c r="A86" s="40">
        <v>43103.525760902776</v>
      </c>
      <c r="B86" t="s">
        <v>52</v>
      </c>
      <c r="C86">
        <v>15</v>
      </c>
      <c r="D86" s="14">
        <f>VLOOKUP(Добавить1[[#This Row],[Товар]],$G$1:$H$14,2,0)*Добавить1[[#This Row],[количество_единиц_товара]]</f>
        <v>10200</v>
      </c>
      <c r="E86" t="s">
        <v>68</v>
      </c>
      <c r="F86" s="14" t="s">
        <v>93</v>
      </c>
    </row>
    <row r="87" spans="1:13" x14ac:dyDescent="0.3">
      <c r="A87" s="40">
        <v>43112.089372696762</v>
      </c>
      <c r="B87" t="s">
        <v>50</v>
      </c>
      <c r="C87">
        <v>12</v>
      </c>
      <c r="D87" s="14">
        <f>VLOOKUP(Добавить1[[#This Row],[Товар]],$G$1:$H$14,2,0)*Добавить1[[#This Row],[количество_единиц_товара]]</f>
        <v>26400</v>
      </c>
      <c r="E87" t="s">
        <v>66</v>
      </c>
      <c r="F87" s="14" t="s">
        <v>93</v>
      </c>
    </row>
    <row r="88" spans="1:13" x14ac:dyDescent="0.3">
      <c r="A88" s="40">
        <v>43117.441407939812</v>
      </c>
      <c r="B88" t="s">
        <v>56</v>
      </c>
      <c r="C88">
        <v>36</v>
      </c>
      <c r="D88" s="14">
        <f>VLOOKUP(Добавить1[[#This Row],[Товар]],$G$1:$H$14,2,0)*Добавить1[[#This Row],[количество_единиц_товара]]</f>
        <v>57600</v>
      </c>
      <c r="E88" t="s">
        <v>67</v>
      </c>
      <c r="F88" s="14" t="s">
        <v>93</v>
      </c>
      <c r="L88" s="41" t="s">
        <v>84</v>
      </c>
      <c r="M88" t="s">
        <v>82</v>
      </c>
    </row>
    <row r="89" spans="1:13" x14ac:dyDescent="0.3">
      <c r="A89" s="40">
        <v>43136.332171238428</v>
      </c>
      <c r="B89" t="s">
        <v>58</v>
      </c>
      <c r="C89">
        <v>22</v>
      </c>
      <c r="D89" s="14">
        <f>VLOOKUP(Добавить1[[#This Row],[Товар]],$G$1:$H$14,2,0)*Добавить1[[#This Row],[количество_единиц_товара]]</f>
        <v>98010</v>
      </c>
      <c r="E89" t="s">
        <v>67</v>
      </c>
      <c r="F89" s="14" t="s">
        <v>93</v>
      </c>
      <c r="L89" s="42" t="s">
        <v>80</v>
      </c>
      <c r="M89" s="46">
        <v>8.6053928814660063E-2</v>
      </c>
    </row>
    <row r="90" spans="1:13" x14ac:dyDescent="0.3">
      <c r="A90" s="40">
        <v>43145.980495613425</v>
      </c>
      <c r="B90" t="s">
        <v>52</v>
      </c>
      <c r="C90">
        <v>37</v>
      </c>
      <c r="D90" s="14">
        <f>VLOOKUP(Добавить1[[#This Row],[Товар]],$G$1:$H$14,2,0)*Добавить1[[#This Row],[количество_единиц_товара]]</f>
        <v>25160</v>
      </c>
      <c r="E90" t="s">
        <v>67</v>
      </c>
      <c r="F90" s="14" t="s">
        <v>93</v>
      </c>
      <c r="L90" s="42" t="s">
        <v>70</v>
      </c>
      <c r="M90" s="46">
        <v>0.24008038243149507</v>
      </c>
    </row>
    <row r="91" spans="1:13" x14ac:dyDescent="0.3">
      <c r="A91" s="40">
        <v>43146.198080034723</v>
      </c>
      <c r="B91" t="s">
        <v>49</v>
      </c>
      <c r="C91">
        <v>11</v>
      </c>
      <c r="D91" s="14">
        <f>VLOOKUP(Добавить1[[#This Row],[Товар]],$G$1:$H$14,2,0)*Добавить1[[#This Row],[количество_единиц_товара]]</f>
        <v>34100</v>
      </c>
      <c r="E91" t="s">
        <v>67</v>
      </c>
      <c r="F91" s="14" t="s">
        <v>93</v>
      </c>
      <c r="L91" s="42" t="s">
        <v>68</v>
      </c>
      <c r="M91" s="46">
        <v>7.2529125819325815E-2</v>
      </c>
    </row>
    <row r="92" spans="1:13" x14ac:dyDescent="0.3">
      <c r="A92" s="40">
        <v>43151.142801111113</v>
      </c>
      <c r="B92" t="s">
        <v>50</v>
      </c>
      <c r="C92">
        <v>18</v>
      </c>
      <c r="D92" s="14">
        <f>VLOOKUP(Добавить1[[#This Row],[Товар]],$G$1:$H$14,2,0)*Добавить1[[#This Row],[количество_единиц_товара]]</f>
        <v>39600</v>
      </c>
      <c r="E92" t="s">
        <v>67</v>
      </c>
      <c r="F92" s="14" t="s">
        <v>93</v>
      </c>
      <c r="L92" s="42" t="s">
        <v>79</v>
      </c>
      <c r="M92" s="46">
        <v>7.2790464550540931E-2</v>
      </c>
    </row>
    <row r="93" spans="1:13" x14ac:dyDescent="0.3">
      <c r="A93" s="40">
        <v>43163.993305543983</v>
      </c>
      <c r="B93" t="s">
        <v>60</v>
      </c>
      <c r="C93">
        <v>35</v>
      </c>
      <c r="D93" s="14">
        <f>VLOOKUP(Добавить1[[#This Row],[Товар]],$G$1:$H$14,2,0)*Добавить1[[#This Row],[количество_единиц_товара]]</f>
        <v>202615</v>
      </c>
      <c r="E93" t="s">
        <v>67</v>
      </c>
      <c r="F93" s="14" t="s">
        <v>93</v>
      </c>
      <c r="L93" s="42" t="s">
        <v>66</v>
      </c>
      <c r="M93" s="46">
        <v>8.506561736920186E-2</v>
      </c>
    </row>
    <row r="94" spans="1:13" x14ac:dyDescent="0.3">
      <c r="A94" s="40">
        <v>43164.931504699074</v>
      </c>
      <c r="B94" t="s">
        <v>52</v>
      </c>
      <c r="C94">
        <v>24</v>
      </c>
      <c r="D94" s="14">
        <f>VLOOKUP(Добавить1[[#This Row],[Товар]],$G$1:$H$14,2,0)*Добавить1[[#This Row],[количество_единиц_товара]]</f>
        <v>16320</v>
      </c>
      <c r="E94" t="s">
        <v>67</v>
      </c>
      <c r="F94" s="14" t="s">
        <v>93</v>
      </c>
      <c r="L94" s="42" t="s">
        <v>67</v>
      </c>
      <c r="M94" s="46">
        <v>9.4208667735748985E-2</v>
      </c>
    </row>
    <row r="95" spans="1:13" x14ac:dyDescent="0.3">
      <c r="A95" s="40">
        <v>43179.439402951386</v>
      </c>
      <c r="B95" t="s">
        <v>49</v>
      </c>
      <c r="C95">
        <v>18</v>
      </c>
      <c r="D95" s="14">
        <f>VLOOKUP(Добавить1[[#This Row],[Товар]],$G$1:$H$14,2,0)*Добавить1[[#This Row],[количество_единиц_товара]]</f>
        <v>55800</v>
      </c>
      <c r="E95" t="s">
        <v>67</v>
      </c>
      <c r="F95" s="14" t="s">
        <v>93</v>
      </c>
      <c r="L95" s="42" t="s">
        <v>69</v>
      </c>
      <c r="M95" s="46">
        <v>0.21098852212930042</v>
      </c>
    </row>
    <row r="96" spans="1:13" x14ac:dyDescent="0.3">
      <c r="A96" s="40">
        <v>43183.586036747685</v>
      </c>
      <c r="B96" t="s">
        <v>52</v>
      </c>
      <c r="C96">
        <v>15</v>
      </c>
      <c r="D96" s="14">
        <f>VLOOKUP(Добавить1[[#This Row],[Товар]],$G$1:$H$14,2,0)*Добавить1[[#This Row],[количество_единиц_товара]]</f>
        <v>10200</v>
      </c>
      <c r="E96" t="s">
        <v>67</v>
      </c>
      <c r="F96" s="14" t="s">
        <v>93</v>
      </c>
      <c r="L96" s="42" t="s">
        <v>81</v>
      </c>
      <c r="M96" s="46">
        <v>8.4525798934686841E-2</v>
      </c>
    </row>
    <row r="97" spans="1:13" x14ac:dyDescent="0.3">
      <c r="A97" s="40">
        <v>43187.752360925922</v>
      </c>
      <c r="B97" t="s">
        <v>56</v>
      </c>
      <c r="C97">
        <v>30</v>
      </c>
      <c r="D97" s="14">
        <f>VLOOKUP(Добавить1[[#This Row],[Товар]],$G$1:$H$14,2,0)*Добавить1[[#This Row],[количество_единиц_товара]]</f>
        <v>48000</v>
      </c>
      <c r="E97" t="s">
        <v>67</v>
      </c>
      <c r="F97" s="14" t="s">
        <v>93</v>
      </c>
      <c r="L97" s="42" t="s">
        <v>71</v>
      </c>
      <c r="M97" s="46">
        <v>5.3757492215040024E-2</v>
      </c>
    </row>
    <row r="98" spans="1:13" x14ac:dyDescent="0.3">
      <c r="A98" s="40">
        <v>43195.09917898148</v>
      </c>
      <c r="B98" t="s">
        <v>58</v>
      </c>
      <c r="C98">
        <v>26</v>
      </c>
      <c r="D98" s="14">
        <f>VLOOKUP(Добавить1[[#This Row],[Товар]],$G$1:$H$14,2,0)*Добавить1[[#This Row],[количество_единиц_товара]]</f>
        <v>115830</v>
      </c>
      <c r="E98" t="s">
        <v>68</v>
      </c>
      <c r="F98" s="14" t="s">
        <v>93</v>
      </c>
      <c r="L98" s="42" t="s">
        <v>85</v>
      </c>
      <c r="M98" s="46">
        <v>1</v>
      </c>
    </row>
    <row r="99" spans="1:13" x14ac:dyDescent="0.3">
      <c r="A99" s="40">
        <v>43203.417422847226</v>
      </c>
      <c r="B99" t="s">
        <v>52</v>
      </c>
      <c r="C99">
        <v>24</v>
      </c>
      <c r="D99" s="14">
        <f>VLOOKUP(Добавить1[[#This Row],[Товар]],$G$1:$H$14,2,0)*Добавить1[[#This Row],[количество_единиц_товара]]</f>
        <v>16320</v>
      </c>
      <c r="E99" t="s">
        <v>68</v>
      </c>
      <c r="F99" s="14" t="s">
        <v>93</v>
      </c>
    </row>
    <row r="100" spans="1:13" x14ac:dyDescent="0.3">
      <c r="A100" s="40">
        <v>43219.541306631945</v>
      </c>
      <c r="B100" t="s">
        <v>51</v>
      </c>
      <c r="C100">
        <v>31</v>
      </c>
      <c r="D100" s="14">
        <f>VLOOKUP(Добавить1[[#This Row],[Товар]],$G$1:$H$14,2,0)*Добавить1[[#This Row],[количество_единиц_товара]]</f>
        <v>79360</v>
      </c>
      <c r="E100" t="s">
        <v>68</v>
      </c>
      <c r="F100" s="14" t="s">
        <v>93</v>
      </c>
    </row>
    <row r="101" spans="1:13" x14ac:dyDescent="0.3">
      <c r="A101" s="40">
        <v>43230.485489039354</v>
      </c>
      <c r="B101" t="s">
        <v>59</v>
      </c>
      <c r="C101">
        <v>16</v>
      </c>
      <c r="D101" s="14">
        <f>VLOOKUP(Добавить1[[#This Row],[Товар]],$G$1:$H$14,2,0)*Добавить1[[#This Row],[количество_единиц_товара]]</f>
        <v>32000</v>
      </c>
      <c r="E101" t="s">
        <v>68</v>
      </c>
      <c r="F101" s="14" t="s">
        <v>93</v>
      </c>
    </row>
    <row r="102" spans="1:13" x14ac:dyDescent="0.3">
      <c r="A102" s="40">
        <v>43234.86607084491</v>
      </c>
      <c r="B102" t="s">
        <v>53</v>
      </c>
      <c r="C102">
        <v>35</v>
      </c>
      <c r="D102" s="14">
        <f>VLOOKUP(Добавить1[[#This Row],[Товар]],$G$1:$H$14,2,0)*Добавить1[[#This Row],[количество_единиц_товара]]</f>
        <v>62580</v>
      </c>
      <c r="E102" t="s">
        <v>66</v>
      </c>
      <c r="F102" s="14" t="s">
        <v>93</v>
      </c>
    </row>
    <row r="103" spans="1:13" x14ac:dyDescent="0.3">
      <c r="A103" s="40">
        <v>43237.360947152774</v>
      </c>
      <c r="B103" t="s">
        <v>51</v>
      </c>
      <c r="C103">
        <v>17</v>
      </c>
      <c r="D103" s="14">
        <f>VLOOKUP(Добавить1[[#This Row],[Товар]],$G$1:$H$14,2,0)*Добавить1[[#This Row],[количество_единиц_товара]]</f>
        <v>43520</v>
      </c>
      <c r="E103" t="s">
        <v>67</v>
      </c>
      <c r="F103" s="14" t="s">
        <v>93</v>
      </c>
    </row>
    <row r="104" spans="1:13" x14ac:dyDescent="0.3">
      <c r="A104" s="40">
        <v>43249.825416331019</v>
      </c>
      <c r="B104" t="s">
        <v>60</v>
      </c>
      <c r="C104">
        <v>30</v>
      </c>
      <c r="D104" s="14">
        <f>VLOOKUP(Добавить1[[#This Row],[Товар]],$G$1:$H$14,2,0)*Добавить1[[#This Row],[количество_единиц_товара]]</f>
        <v>173670</v>
      </c>
      <c r="E104" t="s">
        <v>67</v>
      </c>
      <c r="F104" s="14" t="s">
        <v>93</v>
      </c>
    </row>
    <row r="105" spans="1:13" x14ac:dyDescent="0.3">
      <c r="A105" s="40">
        <v>43250.83344357639</v>
      </c>
      <c r="B105" t="s">
        <v>50</v>
      </c>
      <c r="C105">
        <v>17</v>
      </c>
      <c r="D105" s="14">
        <f>VLOOKUP(Добавить1[[#This Row],[Товар]],$G$1:$H$14,2,0)*Добавить1[[#This Row],[количество_единиц_товара]]</f>
        <v>37400</v>
      </c>
      <c r="E105" t="s">
        <v>66</v>
      </c>
      <c r="F105" s="14" t="s">
        <v>93</v>
      </c>
    </row>
    <row r="106" spans="1:13" x14ac:dyDescent="0.3">
      <c r="A106" s="40">
        <v>43259.910029155093</v>
      </c>
      <c r="B106" t="s">
        <v>54</v>
      </c>
      <c r="C106">
        <v>34</v>
      </c>
      <c r="D106" s="14">
        <f>VLOOKUP(Добавить1[[#This Row],[Товар]],$G$1:$H$14,2,0)*Добавить1[[#This Row],[количество_единиц_товара]]</f>
        <v>83300</v>
      </c>
      <c r="E106" t="s">
        <v>67</v>
      </c>
      <c r="F106" s="14" t="s">
        <v>93</v>
      </c>
    </row>
    <row r="107" spans="1:13" x14ac:dyDescent="0.3">
      <c r="A107" s="40">
        <v>43284.145871400462</v>
      </c>
      <c r="B107" t="s">
        <v>53</v>
      </c>
      <c r="C107">
        <v>24</v>
      </c>
      <c r="D107" s="14">
        <f>VLOOKUP(Добавить1[[#This Row],[Товар]],$G$1:$H$14,2,0)*Добавить1[[#This Row],[количество_единиц_товара]]</f>
        <v>42912</v>
      </c>
      <c r="E107" t="s">
        <v>67</v>
      </c>
      <c r="F107" s="14" t="s">
        <v>93</v>
      </c>
    </row>
    <row r="108" spans="1:13" x14ac:dyDescent="0.3">
      <c r="A108" s="40">
        <v>43284.688682615742</v>
      </c>
      <c r="B108" t="s">
        <v>59</v>
      </c>
      <c r="C108">
        <v>16</v>
      </c>
      <c r="D108" s="14">
        <f>VLOOKUP(Добавить1[[#This Row],[Товар]],$G$1:$H$14,2,0)*Добавить1[[#This Row],[количество_единиц_товара]]</f>
        <v>32000</v>
      </c>
      <c r="E108" t="s">
        <v>66</v>
      </c>
      <c r="F108" s="14" t="s">
        <v>93</v>
      </c>
    </row>
    <row r="109" spans="1:13" x14ac:dyDescent="0.3">
      <c r="A109" s="40">
        <v>43287.522101817129</v>
      </c>
      <c r="B109" t="s">
        <v>52</v>
      </c>
      <c r="C109">
        <v>14</v>
      </c>
      <c r="D109" s="14">
        <f>VLOOKUP(Добавить1[[#This Row],[Товар]],$G$1:$H$14,2,0)*Добавить1[[#This Row],[количество_единиц_товара]]</f>
        <v>9520</v>
      </c>
      <c r="E109" t="s">
        <v>67</v>
      </c>
      <c r="F109" s="14" t="s">
        <v>93</v>
      </c>
    </row>
    <row r="110" spans="1:13" x14ac:dyDescent="0.3">
      <c r="A110" s="40">
        <v>43287.859716851854</v>
      </c>
      <c r="B110" t="s">
        <v>60</v>
      </c>
      <c r="C110">
        <v>27</v>
      </c>
      <c r="D110" s="14">
        <f>VLOOKUP(Добавить1[[#This Row],[Товар]],$G$1:$H$14,2,0)*Добавить1[[#This Row],[количество_единиц_товара]]</f>
        <v>156303</v>
      </c>
      <c r="E110" t="s">
        <v>67</v>
      </c>
      <c r="F110" s="14" t="s">
        <v>93</v>
      </c>
    </row>
    <row r="111" spans="1:13" x14ac:dyDescent="0.3">
      <c r="A111" s="40">
        <v>43300.698959409725</v>
      </c>
      <c r="B111" t="s">
        <v>56</v>
      </c>
      <c r="C111">
        <v>22</v>
      </c>
      <c r="D111" s="14">
        <f>VLOOKUP(Добавить1[[#This Row],[Товар]],$G$1:$H$14,2,0)*Добавить1[[#This Row],[количество_единиц_товара]]</f>
        <v>35200</v>
      </c>
      <c r="E111" t="s">
        <v>66</v>
      </c>
      <c r="F111" s="14" t="s">
        <v>93</v>
      </c>
    </row>
    <row r="112" spans="1:13" x14ac:dyDescent="0.3">
      <c r="A112" s="40">
        <v>43307.581683171295</v>
      </c>
      <c r="B112" t="s">
        <v>49</v>
      </c>
      <c r="C112">
        <v>24</v>
      </c>
      <c r="D112" s="14">
        <f>VLOOKUP(Добавить1[[#This Row],[Товар]],$G$1:$H$14,2,0)*Добавить1[[#This Row],[количество_единиц_товара]]</f>
        <v>74400</v>
      </c>
      <c r="E112" t="s">
        <v>67</v>
      </c>
      <c r="F112" s="14" t="s">
        <v>93</v>
      </c>
    </row>
    <row r="113" spans="1:13" x14ac:dyDescent="0.3">
      <c r="A113" s="40">
        <v>43310.215491875002</v>
      </c>
      <c r="B113" t="s">
        <v>52</v>
      </c>
      <c r="C113">
        <v>30</v>
      </c>
      <c r="D113" s="14">
        <f>VLOOKUP(Добавить1[[#This Row],[Товар]],$G$1:$H$14,2,0)*Добавить1[[#This Row],[количество_единиц_товара]]</f>
        <v>20400</v>
      </c>
      <c r="E113" t="s">
        <v>67</v>
      </c>
      <c r="F113" s="14" t="s">
        <v>93</v>
      </c>
    </row>
    <row r="114" spans="1:13" x14ac:dyDescent="0.3">
      <c r="A114" s="40">
        <v>43332.663975659721</v>
      </c>
      <c r="B114" t="s">
        <v>51</v>
      </c>
      <c r="C114">
        <v>11</v>
      </c>
      <c r="D114" s="14">
        <f>VLOOKUP(Добавить1[[#This Row],[Товар]],$G$1:$H$14,2,0)*Добавить1[[#This Row],[количество_единиц_товара]]</f>
        <v>28160</v>
      </c>
      <c r="E114" t="s">
        <v>67</v>
      </c>
      <c r="F114" s="14" t="s">
        <v>93</v>
      </c>
    </row>
    <row r="115" spans="1:13" x14ac:dyDescent="0.3">
      <c r="A115" s="40">
        <v>43345.614149537039</v>
      </c>
      <c r="B115" t="s">
        <v>52</v>
      </c>
      <c r="C115">
        <v>15</v>
      </c>
      <c r="D115" s="14">
        <f>VLOOKUP(Добавить1[[#This Row],[Товар]],$G$1:$H$14,2,0)*Добавить1[[#This Row],[количество_единиц_товара]]</f>
        <v>10200</v>
      </c>
      <c r="E115" t="s">
        <v>68</v>
      </c>
      <c r="F115" s="14" t="s">
        <v>93</v>
      </c>
    </row>
    <row r="116" spans="1:13" x14ac:dyDescent="0.3">
      <c r="A116" s="40">
        <v>43355.777920960645</v>
      </c>
      <c r="B116" t="s">
        <v>54</v>
      </c>
      <c r="C116">
        <v>34</v>
      </c>
      <c r="D116" s="14">
        <f>VLOOKUP(Добавить1[[#This Row],[Товар]],$G$1:$H$14,2,0)*Добавить1[[#This Row],[количество_единиц_товара]]</f>
        <v>83300</v>
      </c>
      <c r="E116" t="s">
        <v>68</v>
      </c>
      <c r="F116" s="14" t="s">
        <v>93</v>
      </c>
    </row>
    <row r="117" spans="1:13" x14ac:dyDescent="0.3">
      <c r="A117" s="40">
        <v>43363.077609953703</v>
      </c>
      <c r="B117" t="s">
        <v>53</v>
      </c>
      <c r="C117">
        <v>14</v>
      </c>
      <c r="D117" s="14">
        <f>VLOOKUP(Добавить1[[#This Row],[Товар]],$G$1:$H$14,2,0)*Добавить1[[#This Row],[количество_единиц_товара]]</f>
        <v>25032</v>
      </c>
      <c r="E117" t="s">
        <v>68</v>
      </c>
      <c r="F117" s="14" t="s">
        <v>93</v>
      </c>
    </row>
    <row r="118" spans="1:13" x14ac:dyDescent="0.3">
      <c r="A118" s="40">
        <v>43398.090189965274</v>
      </c>
      <c r="B118" t="s">
        <v>59</v>
      </c>
      <c r="C118">
        <v>11</v>
      </c>
      <c r="D118" s="14">
        <f>VLOOKUP(Добавить1[[#This Row],[Товар]],$G$1:$H$14,2,0)*Добавить1[[#This Row],[количество_единиц_товара]]</f>
        <v>22000</v>
      </c>
      <c r="E118" t="s">
        <v>67</v>
      </c>
      <c r="F118" s="14" t="s">
        <v>93</v>
      </c>
    </row>
    <row r="119" spans="1:13" x14ac:dyDescent="0.3">
      <c r="A119" s="40">
        <v>43398.488037361109</v>
      </c>
      <c r="B119" t="s">
        <v>52</v>
      </c>
      <c r="C119">
        <v>18</v>
      </c>
      <c r="D119" s="14">
        <f>VLOOKUP(Добавить1[[#This Row],[Товар]],$G$1:$H$14,2,0)*Добавить1[[#This Row],[количество_единиц_товара]]</f>
        <v>12240</v>
      </c>
      <c r="E119" t="s">
        <v>68</v>
      </c>
      <c r="F119" s="14" t="s">
        <v>93</v>
      </c>
    </row>
    <row r="120" spans="1:13" x14ac:dyDescent="0.3">
      <c r="A120" s="40">
        <v>43403.200350266205</v>
      </c>
      <c r="B120" t="s">
        <v>56</v>
      </c>
      <c r="C120">
        <v>13</v>
      </c>
      <c r="D120" s="14">
        <f>VLOOKUP(Добавить1[[#This Row],[Товар]],$G$1:$H$14,2,0)*Добавить1[[#This Row],[количество_единиц_товара]]</f>
        <v>20800</v>
      </c>
      <c r="E120" t="s">
        <v>68</v>
      </c>
      <c r="F120" s="14" t="s">
        <v>93</v>
      </c>
    </row>
    <row r="121" spans="1:13" x14ac:dyDescent="0.3">
      <c r="A121" s="40">
        <v>43406.964917997684</v>
      </c>
      <c r="B121" t="s">
        <v>50</v>
      </c>
      <c r="C121">
        <v>23</v>
      </c>
      <c r="D121" s="14">
        <f>VLOOKUP(Добавить1[[#This Row],[Товар]],$G$1:$H$14,2,0)*Добавить1[[#This Row],[количество_единиц_товара]]</f>
        <v>50600</v>
      </c>
      <c r="E121" t="s">
        <v>68</v>
      </c>
      <c r="F121" s="14" t="s">
        <v>93</v>
      </c>
    </row>
    <row r="122" spans="1:13" x14ac:dyDescent="0.3">
      <c r="A122" s="40">
        <v>43407.326755289352</v>
      </c>
      <c r="B122" t="s">
        <v>52</v>
      </c>
      <c r="C122">
        <v>18</v>
      </c>
      <c r="D122" s="14">
        <f>VLOOKUP(Добавить1[[#This Row],[Товар]],$G$1:$H$14,2,0)*Добавить1[[#This Row],[количество_единиц_товара]]</f>
        <v>12240</v>
      </c>
      <c r="E122" t="s">
        <v>67</v>
      </c>
      <c r="F122" s="14" t="s">
        <v>93</v>
      </c>
    </row>
    <row r="123" spans="1:13" x14ac:dyDescent="0.3">
      <c r="A123" s="40">
        <v>43408.261308148147</v>
      </c>
      <c r="B123" t="s">
        <v>51</v>
      </c>
      <c r="C123">
        <v>17</v>
      </c>
      <c r="D123" s="14">
        <f>VLOOKUP(Добавить1[[#This Row],[Товар]],$G$1:$H$14,2,0)*Добавить1[[#This Row],[количество_единиц_товара]]</f>
        <v>43520</v>
      </c>
      <c r="E123" t="s">
        <v>66</v>
      </c>
      <c r="F123" s="14" t="s">
        <v>93</v>
      </c>
    </row>
    <row r="124" spans="1:13" x14ac:dyDescent="0.3">
      <c r="A124" s="40">
        <v>43432.191263807872</v>
      </c>
      <c r="B124" t="s">
        <v>56</v>
      </c>
      <c r="C124">
        <v>22</v>
      </c>
      <c r="D124" s="14">
        <f>VLOOKUP(Добавить1[[#This Row],[Товар]],$G$1:$H$14,2,0)*Добавить1[[#This Row],[количество_единиц_товара]]</f>
        <v>35200</v>
      </c>
      <c r="E124" t="s">
        <v>67</v>
      </c>
      <c r="F124" s="14" t="s">
        <v>93</v>
      </c>
      <c r="L124" s="41" t="s">
        <v>84</v>
      </c>
      <c r="M124" t="s">
        <v>83</v>
      </c>
    </row>
    <row r="125" spans="1:13" x14ac:dyDescent="0.3">
      <c r="A125" s="40">
        <v>43437.237448553242</v>
      </c>
      <c r="B125" t="s">
        <v>59</v>
      </c>
      <c r="C125">
        <v>26</v>
      </c>
      <c r="D125" s="14">
        <f>VLOOKUP(Добавить1[[#This Row],[Товар]],$G$1:$H$14,2,0)*Добавить1[[#This Row],[количество_единиц_товара]]</f>
        <v>52000</v>
      </c>
      <c r="E125" t="s">
        <v>66</v>
      </c>
      <c r="F125" s="14" t="s">
        <v>93</v>
      </c>
      <c r="L125" s="42" t="s">
        <v>54</v>
      </c>
      <c r="M125" s="43">
        <v>1823</v>
      </c>
    </row>
    <row r="126" spans="1:13" x14ac:dyDescent="0.3">
      <c r="A126" s="40">
        <v>43453.551812280093</v>
      </c>
      <c r="B126" t="s">
        <v>51</v>
      </c>
      <c r="C126">
        <v>21</v>
      </c>
      <c r="D126" s="14">
        <f>VLOOKUP(Добавить1[[#This Row],[Товар]],$G$1:$H$14,2,0)*Добавить1[[#This Row],[количество_единиц_товара]]</f>
        <v>53760</v>
      </c>
      <c r="E126" t="s">
        <v>67</v>
      </c>
      <c r="F126" s="14" t="s">
        <v>93</v>
      </c>
      <c r="L126" s="42" t="s">
        <v>58</v>
      </c>
      <c r="M126" s="43">
        <v>2115</v>
      </c>
    </row>
    <row r="127" spans="1:13" x14ac:dyDescent="0.3">
      <c r="A127" s="40">
        <v>43453.881745474537</v>
      </c>
      <c r="B127" t="s">
        <v>59</v>
      </c>
      <c r="C127">
        <v>28</v>
      </c>
      <c r="D127" s="14">
        <f>VLOOKUP(Добавить1[[#This Row],[Товар]],$G$1:$H$14,2,0)*Добавить1[[#This Row],[количество_единиц_товара]]</f>
        <v>56000</v>
      </c>
      <c r="E127" t="s">
        <v>66</v>
      </c>
      <c r="F127" s="14" t="s">
        <v>93</v>
      </c>
      <c r="L127" s="42" t="s">
        <v>51</v>
      </c>
      <c r="M127" s="43">
        <v>2425</v>
      </c>
    </row>
    <row r="128" spans="1:13" x14ac:dyDescent="0.3">
      <c r="A128" s="40">
        <v>43461.674895497687</v>
      </c>
      <c r="B128" t="s">
        <v>52</v>
      </c>
      <c r="C128">
        <v>18</v>
      </c>
      <c r="D128" s="14">
        <f>VLOOKUP(Добавить1[[#This Row],[Товар]],$G$1:$H$14,2,0)*Добавить1[[#This Row],[количество_единиц_товара]]</f>
        <v>12240</v>
      </c>
      <c r="E128" t="s">
        <v>67</v>
      </c>
      <c r="F128" s="14" t="s">
        <v>93</v>
      </c>
      <c r="L128" s="42" t="s">
        <v>59</v>
      </c>
      <c r="M128" s="43">
        <v>2556</v>
      </c>
    </row>
    <row r="129" spans="1:13" x14ac:dyDescent="0.3">
      <c r="A129" s="40">
        <v>43474.409701157405</v>
      </c>
      <c r="B129" t="s">
        <v>59</v>
      </c>
      <c r="C129">
        <v>14</v>
      </c>
      <c r="D129" s="14">
        <f>VLOOKUP(Добавить1[[#This Row],[Товар]],$G$1:$H$14,2,0)*Добавить1[[#This Row],[количество_единиц_товара]]</f>
        <v>28000</v>
      </c>
      <c r="E129" t="s">
        <v>66</v>
      </c>
      <c r="F129" s="14" t="s">
        <v>93</v>
      </c>
      <c r="L129" s="42" t="s">
        <v>52</v>
      </c>
      <c r="M129" s="43">
        <v>3520</v>
      </c>
    </row>
    <row r="130" spans="1:13" x14ac:dyDescent="0.3">
      <c r="A130" s="40">
        <v>43484.298837037037</v>
      </c>
      <c r="B130" t="s">
        <v>56</v>
      </c>
      <c r="C130">
        <v>13</v>
      </c>
      <c r="D130" s="14">
        <f>VLOOKUP(Добавить1[[#This Row],[Товар]],$G$1:$H$14,2,0)*Добавить1[[#This Row],[количество_единиц_товара]]</f>
        <v>20800</v>
      </c>
      <c r="E130" t="s">
        <v>67</v>
      </c>
      <c r="F130" s="14" t="s">
        <v>93</v>
      </c>
      <c r="L130" s="42" t="s">
        <v>85</v>
      </c>
      <c r="M130" s="43">
        <v>12439</v>
      </c>
    </row>
    <row r="131" spans="1:13" x14ac:dyDescent="0.3">
      <c r="A131" s="40">
        <v>43488.168081655094</v>
      </c>
      <c r="B131" t="s">
        <v>61</v>
      </c>
      <c r="C131">
        <v>26</v>
      </c>
      <c r="D131" s="14">
        <f>VLOOKUP(Добавить1[[#This Row],[Товар]],$G$1:$H$14,2,0)*Добавить1[[#This Row],[количество_единиц_товара]]</f>
        <v>90220</v>
      </c>
      <c r="E131" t="s">
        <v>66</v>
      </c>
      <c r="F131" s="14" t="s">
        <v>93</v>
      </c>
    </row>
    <row r="132" spans="1:13" x14ac:dyDescent="0.3">
      <c r="A132" s="40">
        <v>43492.683380995368</v>
      </c>
      <c r="B132" t="s">
        <v>56</v>
      </c>
      <c r="C132">
        <v>29</v>
      </c>
      <c r="D132" s="14">
        <f>VLOOKUP(Добавить1[[#This Row],[Товар]],$G$1:$H$14,2,0)*Добавить1[[#This Row],[количество_единиц_товара]]</f>
        <v>46400</v>
      </c>
      <c r="E132" t="s">
        <v>66</v>
      </c>
      <c r="F132" s="14" t="s">
        <v>93</v>
      </c>
    </row>
    <row r="133" spans="1:13" x14ac:dyDescent="0.3">
      <c r="A133" s="40">
        <v>43511.448742939814</v>
      </c>
      <c r="B133" t="s">
        <v>51</v>
      </c>
      <c r="C133">
        <v>23</v>
      </c>
      <c r="D133" s="14">
        <f>VLOOKUP(Добавить1[[#This Row],[Товар]],$G$1:$H$14,2,0)*Добавить1[[#This Row],[количество_единиц_товара]]</f>
        <v>58880</v>
      </c>
      <c r="E133" t="s">
        <v>66</v>
      </c>
      <c r="F133" s="14" t="s">
        <v>93</v>
      </c>
    </row>
    <row r="134" spans="1:13" x14ac:dyDescent="0.3">
      <c r="A134" s="40">
        <v>43514.362863425929</v>
      </c>
      <c r="B134" t="s">
        <v>52</v>
      </c>
      <c r="C134">
        <v>14</v>
      </c>
      <c r="D134" s="14">
        <f>VLOOKUP(Добавить1[[#This Row],[Товар]],$G$1:$H$14,2,0)*Добавить1[[#This Row],[количество_единиц_товара]]</f>
        <v>9520</v>
      </c>
      <c r="E134" t="s">
        <v>66</v>
      </c>
      <c r="F134" s="14" t="s">
        <v>93</v>
      </c>
    </row>
    <row r="135" spans="1:13" x14ac:dyDescent="0.3">
      <c r="A135" s="40">
        <v>43531.119654270835</v>
      </c>
      <c r="B135" t="s">
        <v>58</v>
      </c>
      <c r="C135">
        <v>23</v>
      </c>
      <c r="D135" s="14">
        <f>VLOOKUP(Добавить1[[#This Row],[Товар]],$G$1:$H$14,2,0)*Добавить1[[#This Row],[количество_единиц_товара]]</f>
        <v>102465</v>
      </c>
      <c r="E135" t="s">
        <v>66</v>
      </c>
      <c r="F135" s="14" t="s">
        <v>93</v>
      </c>
    </row>
    <row r="136" spans="1:13" x14ac:dyDescent="0.3">
      <c r="A136" s="40">
        <v>43541.803424837963</v>
      </c>
      <c r="B136" t="s">
        <v>49</v>
      </c>
      <c r="C136">
        <v>16</v>
      </c>
      <c r="D136" s="14">
        <f>VLOOKUP(Добавить1[[#This Row],[Товар]],$G$1:$H$14,2,0)*Добавить1[[#This Row],[количество_единиц_товара]]</f>
        <v>49600</v>
      </c>
      <c r="E136" t="s">
        <v>66</v>
      </c>
      <c r="F136" s="14" t="s">
        <v>93</v>
      </c>
    </row>
    <row r="137" spans="1:13" x14ac:dyDescent="0.3">
      <c r="A137" s="40">
        <v>43551.832083159723</v>
      </c>
      <c r="B137" t="s">
        <v>52</v>
      </c>
      <c r="C137">
        <v>10</v>
      </c>
      <c r="D137" s="14">
        <f>VLOOKUP(Добавить1[[#This Row],[Товар]],$G$1:$H$14,2,0)*Добавить1[[#This Row],[количество_единиц_товара]]</f>
        <v>6800</v>
      </c>
      <c r="E137" t="s">
        <v>66</v>
      </c>
      <c r="F137" s="14" t="s">
        <v>93</v>
      </c>
    </row>
    <row r="138" spans="1:13" x14ac:dyDescent="0.3">
      <c r="A138" s="40">
        <v>43554.147962939816</v>
      </c>
      <c r="B138" t="s">
        <v>54</v>
      </c>
      <c r="C138">
        <v>22</v>
      </c>
      <c r="D138" s="14">
        <f>VLOOKUP(Добавить1[[#This Row],[Товар]],$G$1:$H$14,2,0)*Добавить1[[#This Row],[количество_единиц_товара]]</f>
        <v>53900</v>
      </c>
      <c r="E138" t="s">
        <v>66</v>
      </c>
      <c r="F138" s="14" t="s">
        <v>93</v>
      </c>
    </row>
    <row r="139" spans="1:13" x14ac:dyDescent="0.3">
      <c r="A139" s="40">
        <v>43560.304251863425</v>
      </c>
      <c r="B139" t="s">
        <v>58</v>
      </c>
      <c r="C139">
        <v>33</v>
      </c>
      <c r="D139" s="14">
        <f>VLOOKUP(Добавить1[[#This Row],[Товар]],$G$1:$H$14,2,0)*Добавить1[[#This Row],[количество_единиц_товара]]</f>
        <v>147015</v>
      </c>
      <c r="E139" t="s">
        <v>66</v>
      </c>
      <c r="F139" s="14" t="s">
        <v>93</v>
      </c>
    </row>
    <row r="140" spans="1:13" x14ac:dyDescent="0.3">
      <c r="A140" s="40">
        <v>43565.932633738426</v>
      </c>
      <c r="B140" t="s">
        <v>50</v>
      </c>
      <c r="C140">
        <v>24</v>
      </c>
      <c r="D140" s="14">
        <f>VLOOKUP(Добавить1[[#This Row],[Товар]],$G$1:$H$14,2,0)*Добавить1[[#This Row],[количество_единиц_товара]]</f>
        <v>52800</v>
      </c>
      <c r="E140" t="s">
        <v>66</v>
      </c>
      <c r="F140" s="14" t="s">
        <v>93</v>
      </c>
    </row>
    <row r="141" spans="1:13" x14ac:dyDescent="0.3">
      <c r="A141" s="40">
        <v>43568.253810092596</v>
      </c>
      <c r="B141" t="s">
        <v>51</v>
      </c>
      <c r="C141">
        <v>34</v>
      </c>
      <c r="D141" s="14">
        <f>VLOOKUP(Добавить1[[#This Row],[Товар]],$G$1:$H$14,2,0)*Добавить1[[#This Row],[количество_единиц_товара]]</f>
        <v>87040</v>
      </c>
      <c r="E141" t="s">
        <v>68</v>
      </c>
      <c r="F141" s="14" t="s">
        <v>93</v>
      </c>
    </row>
    <row r="142" spans="1:13" x14ac:dyDescent="0.3">
      <c r="A142" s="40">
        <v>43583.900404398148</v>
      </c>
      <c r="B142" t="s">
        <v>50</v>
      </c>
      <c r="C142">
        <v>33</v>
      </c>
      <c r="D142" s="14">
        <f>VLOOKUP(Добавить1[[#This Row],[Товар]],$G$1:$H$14,2,0)*Добавить1[[#This Row],[количество_единиц_товара]]</f>
        <v>72600</v>
      </c>
      <c r="E142" t="s">
        <v>67</v>
      </c>
      <c r="F142" s="14" t="s">
        <v>93</v>
      </c>
    </row>
    <row r="143" spans="1:13" x14ac:dyDescent="0.3">
      <c r="A143" s="40">
        <v>43586.186710277776</v>
      </c>
      <c r="B143" t="s">
        <v>56</v>
      </c>
      <c r="C143">
        <v>22</v>
      </c>
      <c r="D143" s="14">
        <f>VLOOKUP(Добавить1[[#This Row],[Товар]],$G$1:$H$14,2,0)*Добавить1[[#This Row],[количество_единиц_товара]]</f>
        <v>35200</v>
      </c>
      <c r="E143" t="s">
        <v>68</v>
      </c>
      <c r="F143" s="14" t="s">
        <v>93</v>
      </c>
    </row>
    <row r="144" spans="1:13" x14ac:dyDescent="0.3">
      <c r="A144" s="40">
        <v>43595.111193865741</v>
      </c>
      <c r="B144" t="s">
        <v>49</v>
      </c>
      <c r="C144">
        <v>35</v>
      </c>
      <c r="D144" s="14">
        <f>VLOOKUP(Добавить1[[#This Row],[Товар]],$G$1:$H$14,2,0)*Добавить1[[#This Row],[количество_единиц_товара]]</f>
        <v>108500</v>
      </c>
      <c r="E144" t="s">
        <v>67</v>
      </c>
      <c r="F144" s="14" t="s">
        <v>93</v>
      </c>
    </row>
    <row r="145" spans="1:11" x14ac:dyDescent="0.3">
      <c r="A145" s="40">
        <v>43602.334961412038</v>
      </c>
      <c r="B145" t="s">
        <v>61</v>
      </c>
      <c r="C145">
        <v>30</v>
      </c>
      <c r="D145" s="14">
        <f>VLOOKUP(Добавить1[[#This Row],[Товар]],$G$1:$H$14,2,0)*Добавить1[[#This Row],[количество_единиц_товара]]</f>
        <v>104100</v>
      </c>
      <c r="E145" t="s">
        <v>68</v>
      </c>
      <c r="F145" s="14" t="s">
        <v>93</v>
      </c>
    </row>
    <row r="146" spans="1:11" x14ac:dyDescent="0.3">
      <c r="A146" s="40">
        <v>43618.331622465281</v>
      </c>
      <c r="B146" t="s">
        <v>52</v>
      </c>
      <c r="C146">
        <v>26</v>
      </c>
      <c r="D146" s="14">
        <f>VLOOKUP(Добавить1[[#This Row],[Товар]],$G$1:$H$14,2,0)*Добавить1[[#This Row],[количество_единиц_товара]]</f>
        <v>17680</v>
      </c>
      <c r="E146" t="s">
        <v>67</v>
      </c>
      <c r="F146" s="14" t="s">
        <v>93</v>
      </c>
    </row>
    <row r="147" spans="1:11" x14ac:dyDescent="0.3">
      <c r="A147" s="40">
        <v>43630.610431898145</v>
      </c>
      <c r="B147" t="s">
        <v>52</v>
      </c>
      <c r="C147">
        <v>10</v>
      </c>
      <c r="D147" s="14">
        <f>VLOOKUP(Добавить1[[#This Row],[Товар]],$G$1:$H$14,2,0)*Добавить1[[#This Row],[количество_единиц_товара]]</f>
        <v>6800</v>
      </c>
      <c r="E147" t="s">
        <v>68</v>
      </c>
      <c r="F147" s="14" t="s">
        <v>93</v>
      </c>
    </row>
    <row r="148" spans="1:11" x14ac:dyDescent="0.3">
      <c r="A148" s="40">
        <v>43635.819315694447</v>
      </c>
      <c r="B148" t="s">
        <v>51</v>
      </c>
      <c r="C148">
        <v>32</v>
      </c>
      <c r="D148" s="14">
        <f>VLOOKUP(Добавить1[[#This Row],[Товар]],$G$1:$H$14,2,0)*Добавить1[[#This Row],[количество_единиц_товара]]</f>
        <v>81920</v>
      </c>
      <c r="E148" t="s">
        <v>68</v>
      </c>
      <c r="F148" s="14" t="s">
        <v>93</v>
      </c>
    </row>
    <row r="149" spans="1:11" x14ac:dyDescent="0.3">
      <c r="A149" s="40">
        <v>43641.078181481484</v>
      </c>
      <c r="B149" t="s">
        <v>59</v>
      </c>
      <c r="C149">
        <v>26</v>
      </c>
      <c r="D149" s="14">
        <f>VLOOKUP(Добавить1[[#This Row],[Товар]],$G$1:$H$14,2,0)*Добавить1[[#This Row],[количество_единиц_товара]]</f>
        <v>52000</v>
      </c>
      <c r="E149" t="s">
        <v>68</v>
      </c>
      <c r="F149" s="14" t="s">
        <v>93</v>
      </c>
    </row>
    <row r="150" spans="1:11" x14ac:dyDescent="0.3">
      <c r="A150" s="40">
        <v>43643.935530069444</v>
      </c>
      <c r="B150" t="s">
        <v>60</v>
      </c>
      <c r="C150">
        <v>14</v>
      </c>
      <c r="D150" s="14">
        <f>VLOOKUP(Добавить1[[#This Row],[Товар]],$G$1:$H$14,2,0)*Добавить1[[#This Row],[количество_единиц_товара]]</f>
        <v>81046</v>
      </c>
      <c r="E150" t="s">
        <v>68</v>
      </c>
      <c r="F150" s="14" t="s">
        <v>93</v>
      </c>
    </row>
    <row r="151" spans="1:11" x14ac:dyDescent="0.3">
      <c r="A151" s="40">
        <v>43659.431764189816</v>
      </c>
      <c r="B151" t="s">
        <v>61</v>
      </c>
      <c r="C151">
        <v>17</v>
      </c>
      <c r="D151" s="14">
        <f>VLOOKUP(Добавить1[[#This Row],[Товар]],$G$1:$H$14,2,0)*Добавить1[[#This Row],[количество_единиц_товара]]</f>
        <v>58990</v>
      </c>
      <c r="E151" t="s">
        <v>68</v>
      </c>
      <c r="F151" s="14" t="s">
        <v>93</v>
      </c>
    </row>
    <row r="152" spans="1:11" x14ac:dyDescent="0.3">
      <c r="A152" s="40">
        <v>43662.137606296295</v>
      </c>
      <c r="B152" t="s">
        <v>52</v>
      </c>
      <c r="C152">
        <v>39</v>
      </c>
      <c r="D152" s="14">
        <f>VLOOKUP(Добавить1[[#This Row],[Товар]],$G$1:$H$14,2,0)*Добавить1[[#This Row],[количество_единиц_товара]]</f>
        <v>26520</v>
      </c>
      <c r="E152" t="s">
        <v>68</v>
      </c>
      <c r="F152" s="14" t="s">
        <v>93</v>
      </c>
    </row>
    <row r="153" spans="1:11" x14ac:dyDescent="0.3">
      <c r="A153" s="40">
        <v>43672.883332418984</v>
      </c>
      <c r="B153" t="s">
        <v>56</v>
      </c>
      <c r="C153">
        <v>37</v>
      </c>
      <c r="D153" s="14">
        <f>VLOOKUP(Добавить1[[#This Row],[Товар]],$G$1:$H$14,2,0)*Добавить1[[#This Row],[количество_единиц_товара]]</f>
        <v>59200</v>
      </c>
      <c r="E153" t="s">
        <v>68</v>
      </c>
      <c r="F153" s="14" t="s">
        <v>93</v>
      </c>
    </row>
    <row r="154" spans="1:11" x14ac:dyDescent="0.3">
      <c r="A154" s="40">
        <v>43676.811311585647</v>
      </c>
      <c r="B154" t="s">
        <v>50</v>
      </c>
      <c r="C154">
        <v>37</v>
      </c>
      <c r="D154" s="14">
        <f>VLOOKUP(Добавить1[[#This Row],[Товар]],$G$1:$H$14,2,0)*Добавить1[[#This Row],[количество_единиц_товара]]</f>
        <v>81400</v>
      </c>
      <c r="E154" t="s">
        <v>68</v>
      </c>
      <c r="F154" s="14" t="s">
        <v>93</v>
      </c>
    </row>
    <row r="155" spans="1:11" x14ac:dyDescent="0.3">
      <c r="A155" s="40">
        <v>43685.594095509259</v>
      </c>
      <c r="B155" t="s">
        <v>52</v>
      </c>
      <c r="C155">
        <v>40</v>
      </c>
      <c r="D155" s="14">
        <f>VLOOKUP(Добавить1[[#This Row],[Товар]],$G$1:$H$14,2,0)*Добавить1[[#This Row],[количество_единиц_товара]]</f>
        <v>27200</v>
      </c>
      <c r="E155" t="s">
        <v>67</v>
      </c>
      <c r="F155" s="14" t="s">
        <v>93</v>
      </c>
    </row>
    <row r="156" spans="1:11" x14ac:dyDescent="0.3">
      <c r="A156" s="40">
        <v>43696.280155092594</v>
      </c>
      <c r="B156" t="s">
        <v>58</v>
      </c>
      <c r="C156">
        <v>20</v>
      </c>
      <c r="D156" s="14">
        <f>VLOOKUP(Добавить1[[#This Row],[Товар]],$G$1:$H$14,2,0)*Добавить1[[#This Row],[количество_единиц_товара]]</f>
        <v>89100</v>
      </c>
      <c r="E156" t="s">
        <v>66</v>
      </c>
      <c r="F156" s="14" t="s">
        <v>93</v>
      </c>
    </row>
    <row r="157" spans="1:11" x14ac:dyDescent="0.3">
      <c r="A157" s="40">
        <v>43725.095347395836</v>
      </c>
      <c r="B157" t="s">
        <v>59</v>
      </c>
      <c r="C157">
        <v>17</v>
      </c>
      <c r="D157" s="14">
        <f>VLOOKUP(Добавить1[[#This Row],[Товар]],$G$1:$H$14,2,0)*Добавить1[[#This Row],[количество_единиц_товара]]</f>
        <v>34000</v>
      </c>
      <c r="E157" t="s">
        <v>66</v>
      </c>
      <c r="F157" s="14" t="s">
        <v>93</v>
      </c>
    </row>
    <row r="158" spans="1:11" x14ac:dyDescent="0.3">
      <c r="A158" s="40">
        <v>43725.546105949077</v>
      </c>
      <c r="B158" t="s">
        <v>50</v>
      </c>
      <c r="C158">
        <v>36</v>
      </c>
      <c r="D158" s="14">
        <f>VLOOKUP(Добавить1[[#This Row],[Товар]],$G$1:$H$14,2,0)*Добавить1[[#This Row],[количество_единиц_товара]]</f>
        <v>79200</v>
      </c>
      <c r="E158" t="s">
        <v>67</v>
      </c>
      <c r="F158" s="14" t="s">
        <v>93</v>
      </c>
      <c r="H158" s="41" t="s">
        <v>84</v>
      </c>
      <c r="I158" t="s">
        <v>82</v>
      </c>
      <c r="J158" t="s">
        <v>106</v>
      </c>
      <c r="K158" t="s">
        <v>105</v>
      </c>
    </row>
    <row r="159" spans="1:11" x14ac:dyDescent="0.3">
      <c r="A159" s="40">
        <v>43729.508804131947</v>
      </c>
      <c r="B159" t="s">
        <v>60</v>
      </c>
      <c r="C159">
        <v>30</v>
      </c>
      <c r="D159" s="14">
        <f>VLOOKUP(Добавить1[[#This Row],[Товар]],$G$1:$H$14,2,0)*Добавить1[[#This Row],[количество_единиц_товара]]</f>
        <v>173670</v>
      </c>
      <c r="E159" t="s">
        <v>66</v>
      </c>
      <c r="F159" s="14" t="s">
        <v>93</v>
      </c>
      <c r="H159" s="49" t="s">
        <v>58</v>
      </c>
      <c r="I159" s="50">
        <v>9422325</v>
      </c>
      <c r="J159" s="51">
        <f>GETPIVOTDATA("выручка",$H$158,"Товар","Конструктор строительный")*1.15</f>
        <v>10835673.75</v>
      </c>
      <c r="K159" s="52">
        <f>GETPIVOTDATA("выручка",$H$158,"Товар","Конструктор строительный")/J159</f>
        <v>0.86956521739130432</v>
      </c>
    </row>
    <row r="160" spans="1:11" x14ac:dyDescent="0.3">
      <c r="A160" s="40">
        <v>43742.813166863423</v>
      </c>
      <c r="B160" t="s">
        <v>58</v>
      </c>
      <c r="C160">
        <v>28</v>
      </c>
      <c r="D160" s="14">
        <f>VLOOKUP(Добавить1[[#This Row],[Товар]],$G$1:$H$14,2,0)*Добавить1[[#This Row],[количество_единиц_товара]]</f>
        <v>124740</v>
      </c>
      <c r="E160" t="s">
        <v>66</v>
      </c>
      <c r="F160" s="14" t="s">
        <v>93</v>
      </c>
      <c r="H160" s="42" t="s">
        <v>60</v>
      </c>
      <c r="I160" s="43">
        <v>7004690</v>
      </c>
    </row>
    <row r="161" spans="1:9" x14ac:dyDescent="0.3">
      <c r="A161" s="40">
        <v>43748.723311377318</v>
      </c>
      <c r="B161" t="s">
        <v>60</v>
      </c>
      <c r="C161">
        <v>33</v>
      </c>
      <c r="D161" s="14">
        <f>VLOOKUP(Добавить1[[#This Row],[Товар]],$G$1:$H$14,2,0)*Добавить1[[#This Row],[количество_единиц_товара]]</f>
        <v>191037</v>
      </c>
      <c r="E161" t="s">
        <v>67</v>
      </c>
      <c r="F161" s="14" t="s">
        <v>93</v>
      </c>
      <c r="H161" s="42" t="s">
        <v>51</v>
      </c>
      <c r="I161" s="43">
        <v>6208000</v>
      </c>
    </row>
    <row r="162" spans="1:9" x14ac:dyDescent="0.3">
      <c r="A162" s="40">
        <v>43752.349986608795</v>
      </c>
      <c r="B162" t="s">
        <v>56</v>
      </c>
      <c r="C162">
        <v>37</v>
      </c>
      <c r="D162" s="14">
        <f>VLOOKUP(Добавить1[[#This Row],[Товар]],$G$1:$H$14,2,0)*Добавить1[[#This Row],[количество_единиц_товара]]</f>
        <v>59200</v>
      </c>
      <c r="E162" t="s">
        <v>66</v>
      </c>
      <c r="F162" s="14" t="s">
        <v>93</v>
      </c>
      <c r="H162" s="42" t="s">
        <v>59</v>
      </c>
      <c r="I162" s="43">
        <v>5112000</v>
      </c>
    </row>
    <row r="163" spans="1:9" x14ac:dyDescent="0.3">
      <c r="A163" s="40">
        <v>43776.557091944444</v>
      </c>
      <c r="B163" t="s">
        <v>61</v>
      </c>
      <c r="C163">
        <v>27</v>
      </c>
      <c r="D163" s="14">
        <f>VLOOKUP(Добавить1[[#This Row],[Товар]],$G$1:$H$14,2,0)*Добавить1[[#This Row],[количество_единиц_товара]]</f>
        <v>93690</v>
      </c>
      <c r="E163" t="s">
        <v>66</v>
      </c>
      <c r="F163" s="14" t="s">
        <v>93</v>
      </c>
      <c r="H163" s="42" t="s">
        <v>49</v>
      </c>
      <c r="I163" s="43">
        <v>4808100</v>
      </c>
    </row>
    <row r="164" spans="1:9" x14ac:dyDescent="0.3">
      <c r="A164" s="40">
        <v>43810.120741307874</v>
      </c>
      <c r="B164" t="s">
        <v>49</v>
      </c>
      <c r="C164">
        <v>16</v>
      </c>
      <c r="D164" s="14">
        <f>VLOOKUP(Добавить1[[#This Row],[Товар]],$G$1:$H$14,2,0)*Добавить1[[#This Row],[количество_единиц_товара]]</f>
        <v>49600</v>
      </c>
      <c r="E164" t="s">
        <v>67</v>
      </c>
      <c r="F164" s="14" t="s">
        <v>93</v>
      </c>
      <c r="H164" s="42" t="s">
        <v>54</v>
      </c>
      <c r="I164" s="43">
        <v>4466350</v>
      </c>
    </row>
    <row r="165" spans="1:9" x14ac:dyDescent="0.3">
      <c r="A165" s="40">
        <v>43819.093587615738</v>
      </c>
      <c r="B165" t="s">
        <v>52</v>
      </c>
      <c r="C165">
        <v>25</v>
      </c>
      <c r="D165" s="14">
        <f>VLOOKUP(Добавить1[[#This Row],[Товар]],$G$1:$H$14,2,0)*Добавить1[[#This Row],[количество_единиц_товара]]</f>
        <v>17000</v>
      </c>
      <c r="E165" t="s">
        <v>66</v>
      </c>
      <c r="F165" s="14" t="s">
        <v>93</v>
      </c>
      <c r="H165" s="42" t="s">
        <v>55</v>
      </c>
      <c r="I165" s="43">
        <v>4414500</v>
      </c>
    </row>
    <row r="166" spans="1:9" x14ac:dyDescent="0.3">
      <c r="A166" s="40">
        <v>43822.028454560183</v>
      </c>
      <c r="B166" t="s">
        <v>56</v>
      </c>
      <c r="C166">
        <v>22</v>
      </c>
      <c r="D166" s="14">
        <f>VLOOKUP(Добавить1[[#This Row],[Товар]],$G$1:$H$14,2,0)*Добавить1[[#This Row],[количество_единиц_товара]]</f>
        <v>35200</v>
      </c>
      <c r="E166" t="s">
        <v>66</v>
      </c>
      <c r="F166" s="14" t="s">
        <v>93</v>
      </c>
      <c r="H166" s="42" t="s">
        <v>61</v>
      </c>
      <c r="I166" s="43">
        <v>3997440</v>
      </c>
    </row>
    <row r="167" spans="1:9" x14ac:dyDescent="0.3">
      <c r="A167" s="40">
        <v>43833.027109571762</v>
      </c>
      <c r="B167" t="s">
        <v>61</v>
      </c>
      <c r="C167">
        <v>12</v>
      </c>
      <c r="D167" s="14">
        <f>VLOOKUP(Добавить1[[#This Row],[Товар]],$G$1:$H$14,2,0)*Добавить1[[#This Row],[количество_единиц_товара]]</f>
        <v>41640</v>
      </c>
      <c r="E167" t="s">
        <v>67</v>
      </c>
      <c r="F167" s="14" t="s">
        <v>93</v>
      </c>
      <c r="H167" s="42" t="s">
        <v>50</v>
      </c>
      <c r="I167" s="43">
        <v>3641000</v>
      </c>
    </row>
    <row r="168" spans="1:9" x14ac:dyDescent="0.3">
      <c r="A168" s="40">
        <v>43836.258723587962</v>
      </c>
      <c r="B168" t="s">
        <v>55</v>
      </c>
      <c r="C168">
        <v>23</v>
      </c>
      <c r="D168" s="14">
        <f>VLOOKUP(Добавить1[[#This Row],[Товар]],$G$1:$H$14,2,0)*Добавить1[[#This Row],[количество_единиц_товара]]</f>
        <v>103500</v>
      </c>
      <c r="E168" t="s">
        <v>66</v>
      </c>
      <c r="F168" s="14" t="s">
        <v>93</v>
      </c>
      <c r="H168" s="42" t="s">
        <v>56</v>
      </c>
      <c r="I168" s="43">
        <v>2766400</v>
      </c>
    </row>
    <row r="169" spans="1:9" x14ac:dyDescent="0.3">
      <c r="A169" s="40">
        <v>43873.566314456017</v>
      </c>
      <c r="B169" t="s">
        <v>51</v>
      </c>
      <c r="C169">
        <v>22</v>
      </c>
      <c r="D169" s="14">
        <f>VLOOKUP(Добавить1[[#This Row],[Товар]],$G$1:$H$14,2,0)*Добавить1[[#This Row],[количество_единиц_товара]]</f>
        <v>56320</v>
      </c>
      <c r="E169" t="s">
        <v>66</v>
      </c>
      <c r="F169" s="14" t="s">
        <v>93</v>
      </c>
      <c r="H169" s="42" t="s">
        <v>52</v>
      </c>
      <c r="I169" s="43">
        <v>2393600</v>
      </c>
    </row>
    <row r="170" spans="1:9" x14ac:dyDescent="0.3">
      <c r="A170" s="40">
        <v>43882.089731863423</v>
      </c>
      <c r="B170" t="s">
        <v>52</v>
      </c>
      <c r="C170">
        <v>40</v>
      </c>
      <c r="D170" s="14">
        <f>VLOOKUP(Добавить1[[#This Row],[Товар]],$G$1:$H$14,2,0)*Добавить1[[#This Row],[количество_единиц_товара]]</f>
        <v>27200</v>
      </c>
      <c r="E170" t="s">
        <v>67</v>
      </c>
      <c r="F170" s="14" t="s">
        <v>93</v>
      </c>
      <c r="H170" s="42" t="s">
        <v>53</v>
      </c>
      <c r="I170" s="43">
        <v>1582380</v>
      </c>
    </row>
    <row r="171" spans="1:9" x14ac:dyDescent="0.3">
      <c r="A171" s="40">
        <v>43882.389557118055</v>
      </c>
      <c r="B171" t="s">
        <v>50</v>
      </c>
      <c r="C171">
        <v>34</v>
      </c>
      <c r="D171" s="14">
        <f>VLOOKUP(Добавить1[[#This Row],[Товар]],$G$1:$H$14,2,0)*Добавить1[[#This Row],[количество_единиц_товара]]</f>
        <v>74800</v>
      </c>
      <c r="E171" t="s">
        <v>67</v>
      </c>
      <c r="F171" s="14" t="s">
        <v>93</v>
      </c>
      <c r="H171" s="42" t="s">
        <v>57</v>
      </c>
      <c r="I171" s="43">
        <v>1472848</v>
      </c>
    </row>
    <row r="172" spans="1:9" x14ac:dyDescent="0.3">
      <c r="A172" s="40">
        <v>43888.576670162038</v>
      </c>
      <c r="B172" t="s">
        <v>51</v>
      </c>
      <c r="C172">
        <v>26</v>
      </c>
      <c r="D172" s="14">
        <f>VLOOKUP(Добавить1[[#This Row],[Товар]],$G$1:$H$14,2,0)*Добавить1[[#This Row],[количество_единиц_товара]]</f>
        <v>66560</v>
      </c>
      <c r="E172" t="s">
        <v>67</v>
      </c>
      <c r="F172" s="14" t="s">
        <v>93</v>
      </c>
      <c r="H172" s="42" t="s">
        <v>85</v>
      </c>
      <c r="I172" s="43">
        <v>57289633</v>
      </c>
    </row>
    <row r="173" spans="1:9" x14ac:dyDescent="0.3">
      <c r="A173" s="40">
        <v>43900.056221712963</v>
      </c>
      <c r="B173" t="s">
        <v>54</v>
      </c>
      <c r="C173">
        <v>24</v>
      </c>
      <c r="D173" s="14">
        <f>VLOOKUP(Добавить1[[#This Row],[Товар]],$G$1:$H$14,2,0)*Добавить1[[#This Row],[количество_единиц_товара]]</f>
        <v>58800</v>
      </c>
      <c r="E173" t="s">
        <v>67</v>
      </c>
      <c r="F173" s="14" t="s">
        <v>93</v>
      </c>
    </row>
    <row r="174" spans="1:9" x14ac:dyDescent="0.3">
      <c r="A174" s="40">
        <v>43901.748909965281</v>
      </c>
      <c r="B174" t="s">
        <v>51</v>
      </c>
      <c r="C174">
        <v>37</v>
      </c>
      <c r="D174" s="14">
        <f>VLOOKUP(Добавить1[[#This Row],[Товар]],$G$1:$H$14,2,0)*Добавить1[[#This Row],[количество_единиц_товара]]</f>
        <v>94720</v>
      </c>
      <c r="E174" t="s">
        <v>67</v>
      </c>
      <c r="F174" s="14" t="s">
        <v>93</v>
      </c>
    </row>
    <row r="175" spans="1:9" ht="15" thickBot="1" x14ac:dyDescent="0.35">
      <c r="A175" s="40">
        <v>43914.041911342596</v>
      </c>
      <c r="B175" t="s">
        <v>59</v>
      </c>
      <c r="C175">
        <v>17</v>
      </c>
      <c r="D175" s="14">
        <f>VLOOKUP(Добавить1[[#This Row],[Товар]],$G$1:$H$14,2,0)*Добавить1[[#This Row],[количество_единиц_товара]]</f>
        <v>34000</v>
      </c>
      <c r="E175" t="s">
        <v>68</v>
      </c>
      <c r="F175" s="14" t="s">
        <v>93</v>
      </c>
    </row>
    <row r="176" spans="1:9" ht="58.2" thickBot="1" x14ac:dyDescent="0.35">
      <c r="A176" s="40">
        <v>43929.243473020833</v>
      </c>
      <c r="B176" t="s">
        <v>59</v>
      </c>
      <c r="C176">
        <v>31</v>
      </c>
      <c r="D176" s="14">
        <f>VLOOKUP(Добавить1[[#This Row],[Товар]],$G$1:$H$14,2,0)*Добавить1[[#This Row],[количество_единиц_товара]]</f>
        <v>62000</v>
      </c>
      <c r="E176" t="s">
        <v>68</v>
      </c>
      <c r="F176" s="14" t="s">
        <v>93</v>
      </c>
      <c r="H176" s="36" t="s">
        <v>44</v>
      </c>
    </row>
    <row r="177" spans="1:11" x14ac:dyDescent="0.3">
      <c r="A177" s="40">
        <v>43945.640704606485</v>
      </c>
      <c r="B177" t="s">
        <v>52</v>
      </c>
      <c r="C177">
        <v>16</v>
      </c>
      <c r="D177" s="14">
        <f>VLOOKUP(Добавить1[[#This Row],[Товар]],$G$1:$H$14,2,0)*Добавить1[[#This Row],[количество_единиц_товара]]</f>
        <v>10880</v>
      </c>
      <c r="E177" t="s">
        <v>68</v>
      </c>
      <c r="F177" s="14" t="s">
        <v>93</v>
      </c>
    </row>
    <row r="178" spans="1:11" x14ac:dyDescent="0.3">
      <c r="A178" s="40">
        <v>43974.340813437499</v>
      </c>
      <c r="B178" t="s">
        <v>60</v>
      </c>
      <c r="C178">
        <v>17</v>
      </c>
      <c r="D178" s="14">
        <f>VLOOKUP(Добавить1[[#This Row],[Товар]],$G$1:$H$14,2,0)*Добавить1[[#This Row],[количество_единиц_товара]]</f>
        <v>98413</v>
      </c>
      <c r="E178" t="s">
        <v>67</v>
      </c>
      <c r="F178" s="14" t="s">
        <v>93</v>
      </c>
      <c r="H178" s="41" t="s">
        <v>82</v>
      </c>
      <c r="I178" s="41" t="s">
        <v>97</v>
      </c>
      <c r="K178" s="54"/>
    </row>
    <row r="179" spans="1:11" x14ac:dyDescent="0.3">
      <c r="A179" s="40">
        <v>43981.544800601849</v>
      </c>
      <c r="B179" t="s">
        <v>57</v>
      </c>
      <c r="C179">
        <v>30</v>
      </c>
      <c r="D179" s="14">
        <f>VLOOKUP(Добавить1[[#This Row],[Товар]],$G$1:$H$14,2,0)*Добавить1[[#This Row],[количество_единиц_товара]]</f>
        <v>113880</v>
      </c>
      <c r="E179" t="s">
        <v>68</v>
      </c>
      <c r="F179" s="14" t="s">
        <v>93</v>
      </c>
      <c r="H179" s="41" t="s">
        <v>84</v>
      </c>
      <c r="I179" s="14" t="s">
        <v>94</v>
      </c>
      <c r="J179" s="14" t="s">
        <v>85</v>
      </c>
      <c r="K179" s="54" t="s">
        <v>108</v>
      </c>
    </row>
    <row r="180" spans="1:11" x14ac:dyDescent="0.3">
      <c r="A180" s="40">
        <v>43985.215519201389</v>
      </c>
      <c r="B180" t="s">
        <v>50</v>
      </c>
      <c r="C180">
        <v>29</v>
      </c>
      <c r="D180" s="14">
        <f>VLOOKUP(Добавить1[[#This Row],[Товар]],$G$1:$H$14,2,0)*Добавить1[[#This Row],[количество_единиц_товара]]</f>
        <v>63800</v>
      </c>
      <c r="E180" t="s">
        <v>68</v>
      </c>
      <c r="F180" s="14" t="s">
        <v>93</v>
      </c>
      <c r="H180" s="42" t="s">
        <v>61</v>
      </c>
      <c r="I180" s="43">
        <v>319240</v>
      </c>
      <c r="J180" s="43">
        <v>319240</v>
      </c>
      <c r="K180" s="54"/>
    </row>
    <row r="181" spans="1:11" x14ac:dyDescent="0.3">
      <c r="A181" s="40">
        <v>43999.657373333335</v>
      </c>
      <c r="B181" t="s">
        <v>59</v>
      </c>
      <c r="C181">
        <v>25</v>
      </c>
      <c r="D181" s="14">
        <f>VLOOKUP(Добавить1[[#This Row],[Товар]],$G$1:$H$14,2,0)*Добавить1[[#This Row],[количество_единиц_товара]]</f>
        <v>50000</v>
      </c>
      <c r="E181" t="s">
        <v>68</v>
      </c>
      <c r="F181" s="14" t="s">
        <v>93</v>
      </c>
      <c r="H181" s="42" t="s">
        <v>60</v>
      </c>
      <c r="I181" s="43">
        <v>428386</v>
      </c>
      <c r="J181" s="43">
        <v>428386</v>
      </c>
      <c r="K181" s="54"/>
    </row>
    <row r="182" spans="1:11" x14ac:dyDescent="0.3">
      <c r="A182" s="40">
        <v>44033.602566608795</v>
      </c>
      <c r="B182" t="s">
        <v>52</v>
      </c>
      <c r="C182">
        <v>34</v>
      </c>
      <c r="D182" s="14">
        <f>VLOOKUP(Добавить1[[#This Row],[Товар]],$G$1:$H$14,2,0)*Добавить1[[#This Row],[количество_единиц_товара]]</f>
        <v>23120</v>
      </c>
      <c r="E182" t="s">
        <v>67</v>
      </c>
      <c r="F182" s="14" t="s">
        <v>93</v>
      </c>
      <c r="H182" s="42" t="s">
        <v>59</v>
      </c>
      <c r="I182" s="43">
        <v>142000</v>
      </c>
      <c r="J182" s="43">
        <v>142000</v>
      </c>
      <c r="K182" s="54"/>
    </row>
    <row r="183" spans="1:11" x14ac:dyDescent="0.3">
      <c r="A183" s="40">
        <v>44036.480264837963</v>
      </c>
      <c r="B183" t="s">
        <v>58</v>
      </c>
      <c r="C183">
        <v>23</v>
      </c>
      <c r="D183" s="14">
        <f>VLOOKUP(Добавить1[[#This Row],[Товар]],$G$1:$H$14,2,0)*Добавить1[[#This Row],[количество_единиц_товара]]</f>
        <v>102465</v>
      </c>
      <c r="E183" t="s">
        <v>68</v>
      </c>
      <c r="F183" s="14" t="s">
        <v>93</v>
      </c>
      <c r="H183" s="42" t="s">
        <v>85</v>
      </c>
      <c r="I183" s="43">
        <v>889626</v>
      </c>
      <c r="J183" s="43">
        <v>889626</v>
      </c>
      <c r="K183" s="55">
        <f>SUM(GETPIVOTDATA("выручка",$H$178)/GETPIVOTDATA("выручка",$H$158))</f>
        <v>1.5528568667912395E-2</v>
      </c>
    </row>
    <row r="184" spans="1:11" x14ac:dyDescent="0.3">
      <c r="A184" s="40">
        <v>44050.401353356479</v>
      </c>
      <c r="B184" t="s">
        <v>54</v>
      </c>
      <c r="C184">
        <v>33</v>
      </c>
      <c r="D184" s="14">
        <f>VLOOKUP(Добавить1[[#This Row],[Товар]],$G$1:$H$14,2,0)*Добавить1[[#This Row],[количество_единиц_товара]]</f>
        <v>80850</v>
      </c>
      <c r="E184" t="s">
        <v>68</v>
      </c>
      <c r="F184" s="14" t="s">
        <v>93</v>
      </c>
    </row>
    <row r="185" spans="1:11" x14ac:dyDescent="0.3">
      <c r="A185" s="40">
        <v>44055.950879618053</v>
      </c>
      <c r="B185" t="s">
        <v>58</v>
      </c>
      <c r="C185">
        <v>26</v>
      </c>
      <c r="D185" s="14">
        <f>VLOOKUP(Добавить1[[#This Row],[Товар]],$G$1:$H$14,2,0)*Добавить1[[#This Row],[количество_единиц_товара]]</f>
        <v>115830</v>
      </c>
      <c r="E185" t="s">
        <v>68</v>
      </c>
      <c r="F185" s="14" t="s">
        <v>93</v>
      </c>
    </row>
    <row r="186" spans="1:11" x14ac:dyDescent="0.3">
      <c r="A186" s="40">
        <v>44085.676486307872</v>
      </c>
      <c r="B186" t="s">
        <v>60</v>
      </c>
      <c r="C186">
        <v>20</v>
      </c>
      <c r="D186" s="14">
        <f>VLOOKUP(Добавить1[[#This Row],[Товар]],$G$1:$H$14,2,0)*Добавить1[[#This Row],[количество_единиц_товара]]</f>
        <v>115780</v>
      </c>
      <c r="E186" t="s">
        <v>67</v>
      </c>
      <c r="F186" s="14" t="s">
        <v>93</v>
      </c>
    </row>
    <row r="187" spans="1:11" x14ac:dyDescent="0.3">
      <c r="A187" s="40">
        <v>44089.532320347222</v>
      </c>
      <c r="B187" t="s">
        <v>54</v>
      </c>
      <c r="C187">
        <v>35</v>
      </c>
      <c r="D187" s="14">
        <f>VLOOKUP(Добавить1[[#This Row],[Товар]],$G$1:$H$14,2,0)*Добавить1[[#This Row],[количество_единиц_товара]]</f>
        <v>85750</v>
      </c>
      <c r="E187" t="s">
        <v>68</v>
      </c>
      <c r="F187" s="14" t="s">
        <v>93</v>
      </c>
    </row>
    <row r="188" spans="1:11" x14ac:dyDescent="0.3">
      <c r="A188" s="40">
        <v>44097.123237800923</v>
      </c>
      <c r="B188" t="s">
        <v>61</v>
      </c>
      <c r="C188">
        <v>31</v>
      </c>
      <c r="D188" s="14">
        <f>VLOOKUP(Добавить1[[#This Row],[Товар]],$G$1:$H$14,2,0)*Добавить1[[#This Row],[количество_единиц_товара]]</f>
        <v>107570</v>
      </c>
      <c r="E188" t="s">
        <v>68</v>
      </c>
      <c r="F188" s="14" t="s">
        <v>93</v>
      </c>
    </row>
    <row r="189" spans="1:11" x14ac:dyDescent="0.3">
      <c r="A189" s="40">
        <v>44118.404279467592</v>
      </c>
      <c r="B189" t="s">
        <v>54</v>
      </c>
      <c r="C189">
        <v>27</v>
      </c>
      <c r="D189" s="14">
        <f>VLOOKUP(Добавить1[[#This Row],[Товар]],$G$1:$H$14,2,0)*Добавить1[[#This Row],[количество_единиц_товара]]</f>
        <v>66150</v>
      </c>
      <c r="E189" t="s">
        <v>68</v>
      </c>
      <c r="F189" s="14" t="s">
        <v>93</v>
      </c>
    </row>
    <row r="190" spans="1:11" x14ac:dyDescent="0.3">
      <c r="A190" s="40">
        <v>44133.290418807868</v>
      </c>
      <c r="B190" t="s">
        <v>61</v>
      </c>
      <c r="C190">
        <v>34</v>
      </c>
      <c r="D190" s="14">
        <f>VLOOKUP(Добавить1[[#This Row],[Товар]],$G$1:$H$14,2,0)*Добавить1[[#This Row],[количество_единиц_товара]]</f>
        <v>117980</v>
      </c>
      <c r="E190" t="s">
        <v>67</v>
      </c>
      <c r="F190" s="14" t="s">
        <v>93</v>
      </c>
    </row>
    <row r="191" spans="1:11" x14ac:dyDescent="0.3">
      <c r="A191" s="40">
        <v>44138.638334918978</v>
      </c>
      <c r="B191" t="s">
        <v>60</v>
      </c>
      <c r="C191">
        <v>36</v>
      </c>
      <c r="D191" s="14">
        <f>VLOOKUP(Добавить1[[#This Row],[Товар]],$G$1:$H$14,2,0)*Добавить1[[#This Row],[количество_единиц_товара]]</f>
        <v>208404</v>
      </c>
      <c r="E191" t="s">
        <v>68</v>
      </c>
      <c r="F191" s="14" t="s">
        <v>93</v>
      </c>
    </row>
    <row r="192" spans="1:11" x14ac:dyDescent="0.3">
      <c r="A192" s="40">
        <v>44146.992132314816</v>
      </c>
      <c r="B192" t="s">
        <v>54</v>
      </c>
      <c r="C192">
        <v>26</v>
      </c>
      <c r="D192" s="14">
        <f>VLOOKUP(Добавить1[[#This Row],[Товар]],$G$1:$H$14,2,0)*Добавить1[[#This Row],[количество_единиц_товара]]</f>
        <v>63700</v>
      </c>
      <c r="E192" t="s">
        <v>68</v>
      </c>
      <c r="F192" s="14" t="s">
        <v>93</v>
      </c>
    </row>
    <row r="193" spans="1:6" x14ac:dyDescent="0.3">
      <c r="A193" s="40">
        <v>44152.485937442128</v>
      </c>
      <c r="B193" t="s">
        <v>56</v>
      </c>
      <c r="C193">
        <v>32</v>
      </c>
      <c r="D193" s="14">
        <f>VLOOKUP(Добавить1[[#This Row],[Товар]],$G$1:$H$14,2,0)*Добавить1[[#This Row],[количество_единиц_товара]]</f>
        <v>51200</v>
      </c>
      <c r="E193" t="s">
        <v>68</v>
      </c>
      <c r="F193" s="14" t="s">
        <v>93</v>
      </c>
    </row>
    <row r="194" spans="1:6" x14ac:dyDescent="0.3">
      <c r="A194" s="40">
        <v>44162.944907881945</v>
      </c>
      <c r="B194" t="s">
        <v>53</v>
      </c>
      <c r="C194">
        <v>36</v>
      </c>
      <c r="D194" s="14">
        <f>VLOOKUP(Добавить1[[#This Row],[Товар]],$G$1:$H$14,2,0)*Добавить1[[#This Row],[количество_единиц_товара]]</f>
        <v>64368</v>
      </c>
      <c r="E194" t="s">
        <v>67</v>
      </c>
      <c r="F194" s="14" t="s">
        <v>93</v>
      </c>
    </row>
    <row r="195" spans="1:6" x14ac:dyDescent="0.3">
      <c r="A195" s="40">
        <v>44173.750040798608</v>
      </c>
      <c r="B195" t="s">
        <v>49</v>
      </c>
      <c r="C195">
        <v>19</v>
      </c>
      <c r="D195" s="14">
        <f>VLOOKUP(Добавить1[[#This Row],[Товар]],$G$1:$H$14,2,0)*Добавить1[[#This Row],[количество_единиц_товара]]</f>
        <v>58900</v>
      </c>
      <c r="E195" t="s">
        <v>68</v>
      </c>
      <c r="F195" s="14" t="s">
        <v>93</v>
      </c>
    </row>
    <row r="196" spans="1:6" x14ac:dyDescent="0.3">
      <c r="A196" s="40">
        <v>44212.617078009258</v>
      </c>
      <c r="B196" t="s">
        <v>50</v>
      </c>
      <c r="C196">
        <v>24</v>
      </c>
      <c r="D196" s="14">
        <f>VLOOKUP(Добавить1[[#This Row],[Товар]],$G$1:$H$14,2,0)*Добавить1[[#This Row],[количество_единиц_товара]]</f>
        <v>52800</v>
      </c>
      <c r="E196" t="s">
        <v>68</v>
      </c>
      <c r="F196" s="14" t="s">
        <v>93</v>
      </c>
    </row>
    <row r="197" spans="1:6" x14ac:dyDescent="0.3">
      <c r="A197" s="40">
        <v>44222.392377152777</v>
      </c>
      <c r="B197" t="s">
        <v>56</v>
      </c>
      <c r="C197">
        <v>12</v>
      </c>
      <c r="D197" s="14">
        <f>VLOOKUP(Добавить1[[#This Row],[Товар]],$G$1:$H$14,2,0)*Добавить1[[#This Row],[количество_единиц_товара]]</f>
        <v>19200</v>
      </c>
      <c r="E197" t="s">
        <v>68</v>
      </c>
      <c r="F197" s="14" t="s">
        <v>93</v>
      </c>
    </row>
    <row r="198" spans="1:6" x14ac:dyDescent="0.3">
      <c r="A198" s="40">
        <v>44223.84334472222</v>
      </c>
      <c r="B198" t="s">
        <v>49</v>
      </c>
      <c r="C198">
        <v>14</v>
      </c>
      <c r="D198" s="14">
        <f>VLOOKUP(Добавить1[[#This Row],[Товар]],$G$1:$H$14,2,0)*Добавить1[[#This Row],[количество_единиц_товара]]</f>
        <v>43400</v>
      </c>
      <c r="E198" t="s">
        <v>67</v>
      </c>
      <c r="F198" s="14" t="s">
        <v>93</v>
      </c>
    </row>
    <row r="199" spans="1:6" x14ac:dyDescent="0.3">
      <c r="A199" s="40">
        <v>44259.768482604166</v>
      </c>
      <c r="B199" t="s">
        <v>52</v>
      </c>
      <c r="C199">
        <v>36</v>
      </c>
      <c r="D199" s="14">
        <f>VLOOKUP(Добавить1[[#This Row],[Товар]],$G$1:$H$14,2,0)*Добавить1[[#This Row],[количество_единиц_товара]]</f>
        <v>24480</v>
      </c>
      <c r="E199" t="s">
        <v>67</v>
      </c>
      <c r="F199" s="14" t="s">
        <v>93</v>
      </c>
    </row>
    <row r="200" spans="1:6" x14ac:dyDescent="0.3">
      <c r="A200" s="40">
        <v>44268.617133182874</v>
      </c>
      <c r="B200" t="s">
        <v>61</v>
      </c>
      <c r="C200">
        <v>29</v>
      </c>
      <c r="D200" s="14">
        <f>VLOOKUP(Добавить1[[#This Row],[Товар]],$G$1:$H$14,2,0)*Добавить1[[#This Row],[количество_единиц_товара]]</f>
        <v>100630</v>
      </c>
      <c r="E200" t="s">
        <v>66</v>
      </c>
      <c r="F200" s="14" t="s">
        <v>93</v>
      </c>
    </row>
    <row r="201" spans="1:6" x14ac:dyDescent="0.3">
      <c r="A201" s="40">
        <v>44278.153513483798</v>
      </c>
      <c r="B201" t="s">
        <v>51</v>
      </c>
      <c r="C201">
        <v>20</v>
      </c>
      <c r="D201" s="14">
        <f>VLOOKUP(Добавить1[[#This Row],[Товар]],$G$1:$H$14,2,0)*Добавить1[[#This Row],[количество_единиц_товара]]</f>
        <v>51200</v>
      </c>
      <c r="E201" t="s">
        <v>66</v>
      </c>
      <c r="F201" s="14" t="s">
        <v>93</v>
      </c>
    </row>
    <row r="202" spans="1:6" x14ac:dyDescent="0.3">
      <c r="A202" s="40">
        <v>44283.249313622684</v>
      </c>
      <c r="B202" t="s">
        <v>55</v>
      </c>
      <c r="C202">
        <v>14</v>
      </c>
      <c r="D202" s="14">
        <f>VLOOKUP(Добавить1[[#This Row],[Товар]],$G$1:$H$14,2,0)*Добавить1[[#This Row],[количество_единиц_товара]]</f>
        <v>63000</v>
      </c>
      <c r="E202" t="s">
        <v>67</v>
      </c>
      <c r="F202" s="14" t="s">
        <v>93</v>
      </c>
    </row>
    <row r="203" spans="1:6" x14ac:dyDescent="0.3">
      <c r="A203" s="40">
        <v>44288.463606203703</v>
      </c>
      <c r="B203" t="s">
        <v>56</v>
      </c>
      <c r="C203">
        <v>24</v>
      </c>
      <c r="D203" s="14">
        <f>VLOOKUP(Добавить1[[#This Row],[Товар]],$G$1:$H$14,2,0)*Добавить1[[#This Row],[количество_единиц_товара]]</f>
        <v>38400</v>
      </c>
      <c r="E203" t="s">
        <v>67</v>
      </c>
      <c r="F203" s="14" t="s">
        <v>93</v>
      </c>
    </row>
    <row r="204" spans="1:6" x14ac:dyDescent="0.3">
      <c r="A204" s="40">
        <v>44297.839081435188</v>
      </c>
      <c r="B204" t="s">
        <v>50</v>
      </c>
      <c r="C204">
        <v>23</v>
      </c>
      <c r="D204" s="14">
        <f>VLOOKUP(Добавить1[[#This Row],[Товар]],$G$1:$H$14,2,0)*Добавить1[[#This Row],[количество_единиц_товара]]</f>
        <v>50600</v>
      </c>
      <c r="E204" t="s">
        <v>66</v>
      </c>
      <c r="F204" s="14" t="s">
        <v>93</v>
      </c>
    </row>
    <row r="205" spans="1:6" x14ac:dyDescent="0.3">
      <c r="A205" s="40">
        <v>44300.906207812499</v>
      </c>
      <c r="B205" t="s">
        <v>50</v>
      </c>
      <c r="C205">
        <v>20</v>
      </c>
      <c r="D205" s="14">
        <f>VLOOKUP(Добавить1[[#This Row],[Товар]],$G$1:$H$14,2,0)*Добавить1[[#This Row],[количество_единиц_товара]]</f>
        <v>44000</v>
      </c>
      <c r="E205" t="s">
        <v>66</v>
      </c>
      <c r="F205" s="14" t="s">
        <v>93</v>
      </c>
    </row>
    <row r="206" spans="1:6" x14ac:dyDescent="0.3">
      <c r="A206" s="40">
        <v>44313.152550729166</v>
      </c>
      <c r="B206" t="s">
        <v>59</v>
      </c>
      <c r="C206">
        <v>21</v>
      </c>
      <c r="D206" s="14">
        <f>VLOOKUP(Добавить1[[#This Row],[Товар]],$G$1:$H$14,2,0)*Добавить1[[#This Row],[количество_единиц_товара]]</f>
        <v>42000</v>
      </c>
      <c r="E206" t="s">
        <v>67</v>
      </c>
      <c r="F206" s="14" t="s">
        <v>93</v>
      </c>
    </row>
    <row r="207" spans="1:6" x14ac:dyDescent="0.3">
      <c r="A207" s="40">
        <v>44320.848779016203</v>
      </c>
      <c r="B207" t="s">
        <v>55</v>
      </c>
      <c r="C207">
        <v>20</v>
      </c>
      <c r="D207" s="14">
        <f>VLOOKUP(Добавить1[[#This Row],[Товар]],$G$1:$H$14,2,0)*Добавить1[[#This Row],[количество_единиц_товара]]</f>
        <v>90000</v>
      </c>
      <c r="E207" t="s">
        <v>66</v>
      </c>
      <c r="F207" s="14" t="s">
        <v>93</v>
      </c>
    </row>
    <row r="208" spans="1:6" x14ac:dyDescent="0.3">
      <c r="A208" s="40">
        <v>44321.395808761576</v>
      </c>
      <c r="B208" t="s">
        <v>53</v>
      </c>
      <c r="C208">
        <v>15</v>
      </c>
      <c r="D208" s="14">
        <f>VLOOKUP(Добавить1[[#This Row],[Товар]],$G$1:$H$14,2,0)*Добавить1[[#This Row],[количество_единиц_товара]]</f>
        <v>26820</v>
      </c>
      <c r="E208" t="s">
        <v>67</v>
      </c>
      <c r="F208" s="14" t="s">
        <v>93</v>
      </c>
    </row>
    <row r="209" spans="1:6" x14ac:dyDescent="0.3">
      <c r="A209" s="40">
        <v>44326.983848900461</v>
      </c>
      <c r="B209" t="s">
        <v>53</v>
      </c>
      <c r="C209">
        <v>29</v>
      </c>
      <c r="D209" s="14">
        <f>VLOOKUP(Добавить1[[#This Row],[Товар]],$G$1:$H$14,2,0)*Добавить1[[#This Row],[количество_единиц_товара]]</f>
        <v>51852</v>
      </c>
      <c r="E209" t="s">
        <v>66</v>
      </c>
      <c r="F209" s="14" t="s">
        <v>93</v>
      </c>
    </row>
    <row r="210" spans="1:6" x14ac:dyDescent="0.3">
      <c r="A210" s="40">
        <v>44331.660981504632</v>
      </c>
      <c r="B210" t="s">
        <v>59</v>
      </c>
      <c r="C210">
        <v>20</v>
      </c>
      <c r="D210" s="14">
        <f>VLOOKUP(Добавить1[[#This Row],[Товар]],$G$1:$H$14,2,0)*Добавить1[[#This Row],[количество_единиц_товара]]</f>
        <v>40000</v>
      </c>
      <c r="E210" t="s">
        <v>67</v>
      </c>
      <c r="F210" s="14" t="s">
        <v>93</v>
      </c>
    </row>
    <row r="211" spans="1:6" x14ac:dyDescent="0.3">
      <c r="A211" s="40">
        <v>44338.668076689813</v>
      </c>
      <c r="B211" t="s">
        <v>55</v>
      </c>
      <c r="C211">
        <v>12</v>
      </c>
      <c r="D211" s="14">
        <f>VLOOKUP(Добавить1[[#This Row],[Товар]],$G$1:$H$14,2,0)*Добавить1[[#This Row],[количество_единиц_товара]]</f>
        <v>54000</v>
      </c>
      <c r="E211" t="s">
        <v>66</v>
      </c>
      <c r="F211" s="14" t="s">
        <v>93</v>
      </c>
    </row>
    <row r="212" spans="1:6" x14ac:dyDescent="0.3">
      <c r="A212" s="40">
        <v>44348.226880011571</v>
      </c>
      <c r="B212" t="s">
        <v>55</v>
      </c>
      <c r="C212">
        <v>12</v>
      </c>
      <c r="D212" s="14">
        <f>VLOOKUP(Добавить1[[#This Row],[Товар]],$G$1:$H$14,2,0)*Добавить1[[#This Row],[количество_единиц_товара]]</f>
        <v>54000</v>
      </c>
      <c r="E212" t="s">
        <v>67</v>
      </c>
      <c r="F212" s="14" t="s">
        <v>93</v>
      </c>
    </row>
    <row r="213" spans="1:6" x14ac:dyDescent="0.3">
      <c r="A213" s="40">
        <v>44349.504987824075</v>
      </c>
      <c r="B213" t="s">
        <v>56</v>
      </c>
      <c r="C213">
        <v>37</v>
      </c>
      <c r="D213" s="14">
        <f>VLOOKUP(Добавить1[[#This Row],[Товар]],$G$1:$H$14,2,0)*Добавить1[[#This Row],[количество_единиц_товара]]</f>
        <v>59200</v>
      </c>
      <c r="E213" t="s">
        <v>67</v>
      </c>
      <c r="F213" s="14" t="s">
        <v>93</v>
      </c>
    </row>
    <row r="214" spans="1:6" x14ac:dyDescent="0.3">
      <c r="A214" s="40">
        <v>44394.219848333334</v>
      </c>
      <c r="B214" t="s">
        <v>58</v>
      </c>
      <c r="C214">
        <v>22</v>
      </c>
      <c r="D214" s="14">
        <f>VLOOKUP(Добавить1[[#This Row],[Товар]],$G$1:$H$14,2,0)*Добавить1[[#This Row],[количество_единиц_товара]]</f>
        <v>98010</v>
      </c>
      <c r="E214" t="s">
        <v>68</v>
      </c>
      <c r="F214" s="14" t="s">
        <v>93</v>
      </c>
    </row>
    <row r="215" spans="1:6" x14ac:dyDescent="0.3">
      <c r="A215" s="40">
        <v>44405.898193090281</v>
      </c>
      <c r="B215" t="s">
        <v>52</v>
      </c>
      <c r="C215">
        <v>20</v>
      </c>
      <c r="D215" s="14">
        <f>VLOOKUP(Добавить1[[#This Row],[Товар]],$G$1:$H$14,2,0)*Добавить1[[#This Row],[количество_единиц_товара]]</f>
        <v>13600</v>
      </c>
      <c r="E215" t="s">
        <v>68</v>
      </c>
      <c r="F215" s="14" t="s">
        <v>93</v>
      </c>
    </row>
    <row r="216" spans="1:6" x14ac:dyDescent="0.3">
      <c r="A216" s="40">
        <v>44407.553585416666</v>
      </c>
      <c r="B216" t="s">
        <v>54</v>
      </c>
      <c r="C216">
        <v>15</v>
      </c>
      <c r="D216" s="14">
        <f>VLOOKUP(Добавить1[[#This Row],[Товар]],$G$1:$H$14,2,0)*Добавить1[[#This Row],[количество_единиц_товара]]</f>
        <v>36750</v>
      </c>
      <c r="E216" t="s">
        <v>67</v>
      </c>
      <c r="F216" s="14" t="s">
        <v>93</v>
      </c>
    </row>
    <row r="217" spans="1:6" x14ac:dyDescent="0.3">
      <c r="A217" s="40">
        <v>44414.213706817129</v>
      </c>
      <c r="B217" t="s">
        <v>49</v>
      </c>
      <c r="C217">
        <v>20</v>
      </c>
      <c r="D217" s="14">
        <f>VLOOKUP(Добавить1[[#This Row],[Товар]],$G$1:$H$14,2,0)*Добавить1[[#This Row],[количество_единиц_товара]]</f>
        <v>62000</v>
      </c>
      <c r="E217" t="s">
        <v>68</v>
      </c>
      <c r="F217" s="14" t="s">
        <v>93</v>
      </c>
    </row>
    <row r="218" spans="1:6" x14ac:dyDescent="0.3">
      <c r="A218" s="40">
        <v>44414.868755451389</v>
      </c>
      <c r="B218" t="s">
        <v>52</v>
      </c>
      <c r="C218">
        <v>35</v>
      </c>
      <c r="D218" s="14">
        <f>VLOOKUP(Добавить1[[#This Row],[Товар]],$G$1:$H$14,2,0)*Добавить1[[#This Row],[количество_единиц_товара]]</f>
        <v>23800</v>
      </c>
      <c r="E218" t="s">
        <v>68</v>
      </c>
      <c r="F218" s="14" t="s">
        <v>93</v>
      </c>
    </row>
    <row r="219" spans="1:6" x14ac:dyDescent="0.3">
      <c r="A219" s="40">
        <v>44416.106817569445</v>
      </c>
      <c r="B219" t="s">
        <v>59</v>
      </c>
      <c r="C219">
        <v>22</v>
      </c>
      <c r="D219" s="14">
        <f>VLOOKUP(Добавить1[[#This Row],[Товар]],$G$1:$H$14,2,0)*Добавить1[[#This Row],[количество_единиц_товара]]</f>
        <v>44000</v>
      </c>
      <c r="E219" t="s">
        <v>67</v>
      </c>
      <c r="F219" s="14" t="s">
        <v>93</v>
      </c>
    </row>
    <row r="220" spans="1:6" x14ac:dyDescent="0.3">
      <c r="A220" s="40">
        <v>44423.503676817127</v>
      </c>
      <c r="B220" t="s">
        <v>58</v>
      </c>
      <c r="C220">
        <v>18</v>
      </c>
      <c r="D220" s="14">
        <f>VLOOKUP(Добавить1[[#This Row],[Товар]],$G$1:$H$14,2,0)*Добавить1[[#This Row],[количество_единиц_товара]]</f>
        <v>80190</v>
      </c>
      <c r="E220" t="s">
        <v>68</v>
      </c>
      <c r="F220" s="14" t="s">
        <v>93</v>
      </c>
    </row>
    <row r="221" spans="1:6" x14ac:dyDescent="0.3">
      <c r="A221" s="40">
        <v>44432.933318229167</v>
      </c>
      <c r="B221" t="s">
        <v>52</v>
      </c>
      <c r="C221">
        <v>17</v>
      </c>
      <c r="D221" s="14">
        <f>VLOOKUP(Добавить1[[#This Row],[Товар]],$G$1:$H$14,2,0)*Добавить1[[#This Row],[количество_единиц_товара]]</f>
        <v>11560</v>
      </c>
      <c r="E221" t="s">
        <v>68</v>
      </c>
      <c r="F221" s="14" t="s">
        <v>93</v>
      </c>
    </row>
    <row r="222" spans="1:6" x14ac:dyDescent="0.3">
      <c r="A222" s="40">
        <v>44440.242571481482</v>
      </c>
      <c r="B222" t="s">
        <v>61</v>
      </c>
      <c r="C222">
        <v>32</v>
      </c>
      <c r="D222" s="14">
        <f>VLOOKUP(Добавить1[[#This Row],[Товар]],$G$1:$H$14,2,0)*Добавить1[[#This Row],[количество_единиц_товара]]</f>
        <v>111040</v>
      </c>
      <c r="E222" t="s">
        <v>67</v>
      </c>
      <c r="F222" s="14" t="s">
        <v>93</v>
      </c>
    </row>
    <row r="223" spans="1:6" x14ac:dyDescent="0.3">
      <c r="A223" s="40">
        <v>44447.136961064818</v>
      </c>
      <c r="B223" t="s">
        <v>59</v>
      </c>
      <c r="C223">
        <v>26</v>
      </c>
      <c r="D223" s="14">
        <f>VLOOKUP(Добавить1[[#This Row],[Товар]],$G$1:$H$14,2,0)*Добавить1[[#This Row],[количество_единиц_товара]]</f>
        <v>52000</v>
      </c>
      <c r="E223" t="s">
        <v>68</v>
      </c>
      <c r="F223" s="14" t="s">
        <v>93</v>
      </c>
    </row>
    <row r="224" spans="1:6" x14ac:dyDescent="0.3">
      <c r="A224" s="40">
        <v>44449.896882824076</v>
      </c>
      <c r="B224" t="s">
        <v>61</v>
      </c>
      <c r="C224">
        <v>30</v>
      </c>
      <c r="D224" s="14">
        <f>VLOOKUP(Добавить1[[#This Row],[Товар]],$G$1:$H$14,2,0)*Добавить1[[#This Row],[количество_единиц_товара]]</f>
        <v>104100</v>
      </c>
      <c r="E224" t="s">
        <v>68</v>
      </c>
      <c r="F224" s="14" t="s">
        <v>93</v>
      </c>
    </row>
    <row r="225" spans="1:6" x14ac:dyDescent="0.3">
      <c r="A225" s="44">
        <v>42385.033478449077</v>
      </c>
      <c r="B225" s="45" t="s">
        <v>56</v>
      </c>
      <c r="C225" s="45">
        <v>35</v>
      </c>
      <c r="D225" s="45">
        <f>VLOOKUP(Добавить1[[#This Row],[Товар]],$G$1:$H$14,2,0)*Добавить1[[#This Row],[количество_единиц_товара]]</f>
        <v>56000</v>
      </c>
      <c r="E225" s="45" t="s">
        <v>69</v>
      </c>
      <c r="F225" s="45" t="s">
        <v>94</v>
      </c>
    </row>
    <row r="226" spans="1:6" x14ac:dyDescent="0.3">
      <c r="A226" s="44">
        <v>42395.552373645834</v>
      </c>
      <c r="B226" s="45" t="s">
        <v>51</v>
      </c>
      <c r="C226" s="45">
        <v>10</v>
      </c>
      <c r="D226" s="45">
        <f>VLOOKUP(Добавить1[[#This Row],[Товар]],$G$1:$H$14,2,0)*Добавить1[[#This Row],[количество_единиц_товара]]</f>
        <v>25600</v>
      </c>
      <c r="E226" s="45" t="s">
        <v>70</v>
      </c>
      <c r="F226" s="45" t="s">
        <v>94</v>
      </c>
    </row>
    <row r="227" spans="1:6" x14ac:dyDescent="0.3">
      <c r="A227" s="44">
        <v>42398.774436261578</v>
      </c>
      <c r="B227" s="45" t="s">
        <v>59</v>
      </c>
      <c r="C227" s="45">
        <v>30</v>
      </c>
      <c r="D227" s="45">
        <f>VLOOKUP(Добавить1[[#This Row],[Товар]],$G$1:$H$14,2,0)*Добавить1[[#This Row],[количество_единиц_товара]]</f>
        <v>60000</v>
      </c>
      <c r="E227" s="45" t="s">
        <v>71</v>
      </c>
      <c r="F227" s="45" t="s">
        <v>94</v>
      </c>
    </row>
    <row r="228" spans="1:6" x14ac:dyDescent="0.3">
      <c r="A228" s="44">
        <v>42405.454785185182</v>
      </c>
      <c r="B228" s="45" t="s">
        <v>52</v>
      </c>
      <c r="C228" s="45">
        <v>11</v>
      </c>
      <c r="D228" s="45">
        <f>VLOOKUP(Добавить1[[#This Row],[Товар]],$G$1:$H$14,2,0)*Добавить1[[#This Row],[количество_единиц_товара]]</f>
        <v>7480</v>
      </c>
      <c r="E228" s="45" t="s">
        <v>70</v>
      </c>
      <c r="F228" s="45" t="s">
        <v>94</v>
      </c>
    </row>
    <row r="229" spans="1:6" x14ac:dyDescent="0.3">
      <c r="A229" s="44">
        <v>42408.953883888891</v>
      </c>
      <c r="B229" s="45" t="s">
        <v>51</v>
      </c>
      <c r="C229" s="45">
        <v>31</v>
      </c>
      <c r="D229" s="45">
        <f>VLOOKUP(Добавить1[[#This Row],[Товар]],$G$1:$H$14,2,0)*Добавить1[[#This Row],[количество_единиц_товара]]</f>
        <v>79360</v>
      </c>
      <c r="E229" s="45" t="s">
        <v>69</v>
      </c>
      <c r="F229" s="45" t="s">
        <v>94</v>
      </c>
    </row>
    <row r="230" spans="1:6" x14ac:dyDescent="0.3">
      <c r="A230" s="44">
        <v>42412.762764328705</v>
      </c>
      <c r="B230" s="45" t="s">
        <v>52</v>
      </c>
      <c r="C230" s="45">
        <v>32</v>
      </c>
      <c r="D230" s="45">
        <f>VLOOKUP(Добавить1[[#This Row],[Товар]],$G$1:$H$14,2,0)*Добавить1[[#This Row],[количество_единиц_товара]]</f>
        <v>21760</v>
      </c>
      <c r="E230" s="45" t="s">
        <v>71</v>
      </c>
      <c r="F230" s="45" t="s">
        <v>94</v>
      </c>
    </row>
    <row r="231" spans="1:6" x14ac:dyDescent="0.3">
      <c r="A231" s="44">
        <v>42426.187286736109</v>
      </c>
      <c r="B231" s="45" t="s">
        <v>52</v>
      </c>
      <c r="C231" s="45">
        <v>36</v>
      </c>
      <c r="D231" s="45">
        <f>VLOOKUP(Добавить1[[#This Row],[Товар]],$G$1:$H$14,2,0)*Добавить1[[#This Row],[количество_единиц_товара]]</f>
        <v>24480</v>
      </c>
      <c r="E231" s="45" t="s">
        <v>70</v>
      </c>
      <c r="F231" s="45" t="s">
        <v>94</v>
      </c>
    </row>
    <row r="232" spans="1:6" x14ac:dyDescent="0.3">
      <c r="A232" s="44">
        <v>42440.229837824074</v>
      </c>
      <c r="B232" s="45" t="s">
        <v>49</v>
      </c>
      <c r="C232" s="45">
        <v>18</v>
      </c>
      <c r="D232" s="45">
        <f>VLOOKUP(Добавить1[[#This Row],[Товар]],$G$1:$H$14,2,0)*Добавить1[[#This Row],[количество_единиц_товара]]</f>
        <v>55800</v>
      </c>
      <c r="E232" s="45" t="s">
        <v>71</v>
      </c>
      <c r="F232" s="45" t="s">
        <v>94</v>
      </c>
    </row>
    <row r="233" spans="1:6" x14ac:dyDescent="0.3">
      <c r="A233" s="44">
        <v>42451.971855949072</v>
      </c>
      <c r="B233" s="45" t="s">
        <v>50</v>
      </c>
      <c r="C233" s="45">
        <v>37</v>
      </c>
      <c r="D233" s="45">
        <f>VLOOKUP(Добавить1[[#This Row],[Товар]],$G$1:$H$14,2,0)*Добавить1[[#This Row],[количество_единиц_товара]]</f>
        <v>81400</v>
      </c>
      <c r="E233" s="45" t="s">
        <v>71</v>
      </c>
      <c r="F233" s="45" t="s">
        <v>94</v>
      </c>
    </row>
    <row r="234" spans="1:6" x14ac:dyDescent="0.3">
      <c r="A234" s="44">
        <v>42464.15590150463</v>
      </c>
      <c r="B234" s="45" t="s">
        <v>53</v>
      </c>
      <c r="C234" s="45">
        <v>40</v>
      </c>
      <c r="D234" s="45">
        <f>VLOOKUP(Добавить1[[#This Row],[Товар]],$G$1:$H$14,2,0)*Добавить1[[#This Row],[количество_единиц_товара]]</f>
        <v>71520</v>
      </c>
      <c r="E234" s="45" t="s">
        <v>69</v>
      </c>
      <c r="F234" s="45" t="s">
        <v>94</v>
      </c>
    </row>
    <row r="235" spans="1:6" x14ac:dyDescent="0.3">
      <c r="A235" s="44">
        <v>42467.112041087959</v>
      </c>
      <c r="B235" s="45" t="s">
        <v>59</v>
      </c>
      <c r="C235" s="45">
        <v>14</v>
      </c>
      <c r="D235" s="45">
        <f>VLOOKUP(Добавить1[[#This Row],[Товар]],$G$1:$H$14,2,0)*Добавить1[[#This Row],[количество_единиц_товара]]</f>
        <v>28000</v>
      </c>
      <c r="E235" s="45" t="s">
        <v>70</v>
      </c>
      <c r="F235" s="45" t="s">
        <v>94</v>
      </c>
    </row>
    <row r="236" spans="1:6" x14ac:dyDescent="0.3">
      <c r="A236" s="44">
        <v>42482.849901250003</v>
      </c>
      <c r="B236" s="45" t="s">
        <v>56</v>
      </c>
      <c r="C236" s="45">
        <v>24</v>
      </c>
      <c r="D236" s="45">
        <f>VLOOKUP(Добавить1[[#This Row],[Товар]],$G$1:$H$14,2,0)*Добавить1[[#This Row],[количество_единиц_товара]]</f>
        <v>38400</v>
      </c>
      <c r="E236" s="45" t="s">
        <v>69</v>
      </c>
      <c r="F236" s="45" t="s">
        <v>94</v>
      </c>
    </row>
    <row r="237" spans="1:6" x14ac:dyDescent="0.3">
      <c r="A237" s="44">
        <v>42487.658706736111</v>
      </c>
      <c r="B237" s="45" t="s">
        <v>56</v>
      </c>
      <c r="C237" s="45">
        <v>34</v>
      </c>
      <c r="D237" s="45">
        <f>VLOOKUP(Добавить1[[#This Row],[Товар]],$G$1:$H$14,2,0)*Добавить1[[#This Row],[количество_единиц_товара]]</f>
        <v>54400</v>
      </c>
      <c r="E237" s="45" t="s">
        <v>70</v>
      </c>
      <c r="F237" s="45" t="s">
        <v>94</v>
      </c>
    </row>
    <row r="238" spans="1:6" x14ac:dyDescent="0.3">
      <c r="A238" s="44">
        <v>42493.539358946757</v>
      </c>
      <c r="B238" s="45" t="s">
        <v>52</v>
      </c>
      <c r="C238" s="45">
        <v>25</v>
      </c>
      <c r="D238" s="45">
        <f>VLOOKUP(Добавить1[[#This Row],[Товар]],$G$1:$H$14,2,0)*Добавить1[[#This Row],[количество_единиц_товара]]</f>
        <v>17000</v>
      </c>
      <c r="E238" s="45" t="s">
        <v>69</v>
      </c>
      <c r="F238" s="45" t="s">
        <v>94</v>
      </c>
    </row>
    <row r="239" spans="1:6" x14ac:dyDescent="0.3">
      <c r="A239" s="44">
        <v>42501.201393217591</v>
      </c>
      <c r="B239" s="45" t="s">
        <v>50</v>
      </c>
      <c r="C239" s="45">
        <v>14</v>
      </c>
      <c r="D239" s="45">
        <f>VLOOKUP(Добавить1[[#This Row],[Товар]],$G$1:$H$14,2,0)*Добавить1[[#This Row],[количество_единиц_товара]]</f>
        <v>30800</v>
      </c>
      <c r="E239" s="45" t="s">
        <v>69</v>
      </c>
      <c r="F239" s="45" t="s">
        <v>94</v>
      </c>
    </row>
    <row r="240" spans="1:6" x14ac:dyDescent="0.3">
      <c r="A240" s="44">
        <v>42504.132593402777</v>
      </c>
      <c r="B240" s="45" t="s">
        <v>58</v>
      </c>
      <c r="C240" s="45">
        <v>30</v>
      </c>
      <c r="D240" s="45">
        <f>VLOOKUP(Добавить1[[#This Row],[Товар]],$G$1:$H$14,2,0)*Добавить1[[#This Row],[количество_единиц_товара]]</f>
        <v>133650</v>
      </c>
      <c r="E240" s="45" t="s">
        <v>69</v>
      </c>
      <c r="F240" s="45" t="s">
        <v>94</v>
      </c>
    </row>
    <row r="241" spans="1:6" x14ac:dyDescent="0.3">
      <c r="A241" s="44">
        <v>42510.509502939814</v>
      </c>
      <c r="B241" s="45" t="s">
        <v>59</v>
      </c>
      <c r="C241" s="45">
        <v>30</v>
      </c>
      <c r="D241" s="45">
        <f>VLOOKUP(Добавить1[[#This Row],[Товар]],$G$1:$H$14,2,0)*Добавить1[[#This Row],[количество_единиц_товара]]</f>
        <v>60000</v>
      </c>
      <c r="E241" s="45" t="s">
        <v>69</v>
      </c>
      <c r="F241" s="45" t="s">
        <v>94</v>
      </c>
    </row>
    <row r="242" spans="1:6" x14ac:dyDescent="0.3">
      <c r="A242" s="44">
        <v>42512.427067303244</v>
      </c>
      <c r="B242" s="45" t="s">
        <v>59</v>
      </c>
      <c r="C242" s="45">
        <v>34</v>
      </c>
      <c r="D242" s="45">
        <f>VLOOKUP(Добавить1[[#This Row],[Товар]],$G$1:$H$14,2,0)*Добавить1[[#This Row],[количество_единиц_товара]]</f>
        <v>68000</v>
      </c>
      <c r="E242" s="45" t="s">
        <v>70</v>
      </c>
      <c r="F242" s="45" t="s">
        <v>94</v>
      </c>
    </row>
    <row r="243" spans="1:6" x14ac:dyDescent="0.3">
      <c r="A243" s="44">
        <v>42521.23022690972</v>
      </c>
      <c r="B243" s="45" t="s">
        <v>52</v>
      </c>
      <c r="C243" s="45">
        <v>13</v>
      </c>
      <c r="D243" s="45">
        <f>VLOOKUP(Добавить1[[#This Row],[Товар]],$G$1:$H$14,2,0)*Добавить1[[#This Row],[количество_единиц_товара]]</f>
        <v>8840</v>
      </c>
      <c r="E243" s="45" t="s">
        <v>71</v>
      </c>
      <c r="F243" s="45" t="s">
        <v>94</v>
      </c>
    </row>
    <row r="244" spans="1:6" x14ac:dyDescent="0.3">
      <c r="A244" s="44">
        <v>42535.193046192129</v>
      </c>
      <c r="B244" s="45" t="s">
        <v>49</v>
      </c>
      <c r="C244" s="45">
        <v>29</v>
      </c>
      <c r="D244" s="45">
        <f>VLOOKUP(Добавить1[[#This Row],[Товар]],$G$1:$H$14,2,0)*Добавить1[[#This Row],[количество_единиц_товара]]</f>
        <v>89900</v>
      </c>
      <c r="E244" s="45" t="s">
        <v>71</v>
      </c>
      <c r="F244" s="45" t="s">
        <v>94</v>
      </c>
    </row>
    <row r="245" spans="1:6" x14ac:dyDescent="0.3">
      <c r="A245" s="44">
        <v>42539.095548657409</v>
      </c>
      <c r="B245" s="45" t="s">
        <v>54</v>
      </c>
      <c r="C245" s="45">
        <v>24</v>
      </c>
      <c r="D245" s="45">
        <f>VLOOKUP(Добавить1[[#This Row],[Товар]],$G$1:$H$14,2,0)*Добавить1[[#This Row],[количество_единиц_товара]]</f>
        <v>58800</v>
      </c>
      <c r="E245" s="45" t="s">
        <v>71</v>
      </c>
      <c r="F245" s="45" t="s">
        <v>94</v>
      </c>
    </row>
    <row r="246" spans="1:6" x14ac:dyDescent="0.3">
      <c r="A246" s="44">
        <v>42553.451078043981</v>
      </c>
      <c r="B246" s="45" t="s">
        <v>52</v>
      </c>
      <c r="C246" s="45">
        <v>26</v>
      </c>
      <c r="D246" s="45">
        <f>VLOOKUP(Добавить1[[#This Row],[Товар]],$G$1:$H$14,2,0)*Добавить1[[#This Row],[количество_единиц_товара]]</f>
        <v>17680</v>
      </c>
      <c r="E246" s="45" t="s">
        <v>70</v>
      </c>
      <c r="F246" s="45" t="s">
        <v>94</v>
      </c>
    </row>
    <row r="247" spans="1:6" x14ac:dyDescent="0.3">
      <c r="A247" s="44">
        <v>42556.290312523146</v>
      </c>
      <c r="B247" s="45" t="s">
        <v>60</v>
      </c>
      <c r="C247" s="45">
        <v>20</v>
      </c>
      <c r="D247" s="45">
        <f>VLOOKUP(Добавить1[[#This Row],[Товар]],$G$1:$H$14,2,0)*Добавить1[[#This Row],[количество_единиц_товара]]</f>
        <v>115780</v>
      </c>
      <c r="E247" s="45" t="s">
        <v>70</v>
      </c>
      <c r="F247" s="45" t="s">
        <v>94</v>
      </c>
    </row>
    <row r="248" spans="1:6" x14ac:dyDescent="0.3">
      <c r="A248" s="44">
        <v>42573.603825185186</v>
      </c>
      <c r="B248" s="45" t="s">
        <v>60</v>
      </c>
      <c r="C248" s="45">
        <v>26</v>
      </c>
      <c r="D248" s="45">
        <f>VLOOKUP(Добавить1[[#This Row],[Товар]],$G$1:$H$14,2,0)*Добавить1[[#This Row],[количество_единиц_товара]]</f>
        <v>150514</v>
      </c>
      <c r="E248" s="45" t="s">
        <v>70</v>
      </c>
      <c r="F248" s="45" t="s">
        <v>94</v>
      </c>
    </row>
    <row r="249" spans="1:6" x14ac:dyDescent="0.3">
      <c r="A249" s="44">
        <v>42610.662754722223</v>
      </c>
      <c r="B249" s="45" t="s">
        <v>58</v>
      </c>
      <c r="C249" s="45">
        <v>13</v>
      </c>
      <c r="D249" s="45">
        <f>VLOOKUP(Добавить1[[#This Row],[Товар]],$G$1:$H$14,2,0)*Добавить1[[#This Row],[количество_единиц_товара]]</f>
        <v>57915</v>
      </c>
      <c r="E249" s="45" t="s">
        <v>70</v>
      </c>
      <c r="F249" s="45" t="s">
        <v>94</v>
      </c>
    </row>
    <row r="250" spans="1:6" x14ac:dyDescent="0.3">
      <c r="A250" s="44">
        <v>42621.329781759261</v>
      </c>
      <c r="B250" s="45" t="s">
        <v>50</v>
      </c>
      <c r="C250" s="45">
        <v>35</v>
      </c>
      <c r="D250" s="45">
        <f>VLOOKUP(Добавить1[[#This Row],[Товар]],$G$1:$H$14,2,0)*Добавить1[[#This Row],[количество_единиц_товара]]</f>
        <v>77000</v>
      </c>
      <c r="E250" s="45" t="s">
        <v>70</v>
      </c>
      <c r="F250" s="45" t="s">
        <v>94</v>
      </c>
    </row>
    <row r="251" spans="1:6" x14ac:dyDescent="0.3">
      <c r="A251" s="44">
        <v>42632.804821527781</v>
      </c>
      <c r="B251" s="45" t="s">
        <v>52</v>
      </c>
      <c r="C251" s="45">
        <v>24</v>
      </c>
      <c r="D251" s="45">
        <f>VLOOKUP(Добавить1[[#This Row],[Товар]],$G$1:$H$14,2,0)*Добавить1[[#This Row],[количество_единиц_товара]]</f>
        <v>16320</v>
      </c>
      <c r="E251" s="45" t="s">
        <v>70</v>
      </c>
      <c r="F251" s="45" t="s">
        <v>94</v>
      </c>
    </row>
    <row r="252" spans="1:6" x14ac:dyDescent="0.3">
      <c r="A252" s="44">
        <v>42637.069138645835</v>
      </c>
      <c r="B252" s="45" t="s">
        <v>52</v>
      </c>
      <c r="C252" s="45">
        <v>17</v>
      </c>
      <c r="D252" s="45">
        <f>VLOOKUP(Добавить1[[#This Row],[Товар]],$G$1:$H$14,2,0)*Добавить1[[#This Row],[количество_единиц_товара]]</f>
        <v>11560</v>
      </c>
      <c r="E252" s="45" t="s">
        <v>69</v>
      </c>
      <c r="F252" s="45" t="s">
        <v>94</v>
      </c>
    </row>
    <row r="253" spans="1:6" x14ac:dyDescent="0.3">
      <c r="A253" s="44">
        <v>42647.876372800929</v>
      </c>
      <c r="B253" s="45" t="s">
        <v>59</v>
      </c>
      <c r="C253" s="45">
        <v>18</v>
      </c>
      <c r="D253" s="45">
        <f>VLOOKUP(Добавить1[[#This Row],[Товар]],$G$1:$H$14,2,0)*Добавить1[[#This Row],[количество_единиц_товара]]</f>
        <v>36000</v>
      </c>
      <c r="E253" s="45" t="s">
        <v>71</v>
      </c>
      <c r="F253" s="45" t="s">
        <v>94</v>
      </c>
    </row>
    <row r="254" spans="1:6" x14ac:dyDescent="0.3">
      <c r="A254" s="44">
        <v>42653.118669513889</v>
      </c>
      <c r="B254" s="45" t="s">
        <v>51</v>
      </c>
      <c r="C254" s="45">
        <v>36</v>
      </c>
      <c r="D254" s="45">
        <f>VLOOKUP(Добавить1[[#This Row],[Товар]],$G$1:$H$14,2,0)*Добавить1[[#This Row],[количество_единиц_товара]]</f>
        <v>92160</v>
      </c>
      <c r="E254" s="45" t="s">
        <v>70</v>
      </c>
      <c r="F254" s="45" t="s">
        <v>94</v>
      </c>
    </row>
    <row r="255" spans="1:6" x14ac:dyDescent="0.3">
      <c r="A255" s="44">
        <v>42653.800146689813</v>
      </c>
      <c r="B255" s="45" t="s">
        <v>55</v>
      </c>
      <c r="C255" s="45">
        <v>31</v>
      </c>
      <c r="D255" s="45">
        <f>VLOOKUP(Добавить1[[#This Row],[Товар]],$G$1:$H$14,2,0)*Добавить1[[#This Row],[количество_единиц_товара]]</f>
        <v>139500</v>
      </c>
      <c r="E255" s="45" t="s">
        <v>70</v>
      </c>
      <c r="F255" s="45" t="s">
        <v>94</v>
      </c>
    </row>
    <row r="256" spans="1:6" x14ac:dyDescent="0.3">
      <c r="A256" s="44">
        <v>42680.531473298608</v>
      </c>
      <c r="B256" s="45" t="s">
        <v>52</v>
      </c>
      <c r="C256" s="45">
        <v>18</v>
      </c>
      <c r="D256" s="45">
        <f>VLOOKUP(Добавить1[[#This Row],[Товар]],$G$1:$H$14,2,0)*Добавить1[[#This Row],[количество_единиц_товара]]</f>
        <v>12240</v>
      </c>
      <c r="E256" s="45" t="s">
        <v>70</v>
      </c>
      <c r="F256" s="45" t="s">
        <v>94</v>
      </c>
    </row>
    <row r="257" spans="1:6" x14ac:dyDescent="0.3">
      <c r="A257" s="44">
        <v>42680.84709855324</v>
      </c>
      <c r="B257" s="45" t="s">
        <v>51</v>
      </c>
      <c r="C257" s="45">
        <v>20</v>
      </c>
      <c r="D257" s="45">
        <f>VLOOKUP(Добавить1[[#This Row],[Товар]],$G$1:$H$14,2,0)*Добавить1[[#This Row],[количество_единиц_товара]]</f>
        <v>51200</v>
      </c>
      <c r="E257" s="45" t="s">
        <v>70</v>
      </c>
      <c r="F257" s="45" t="s">
        <v>94</v>
      </c>
    </row>
    <row r="258" spans="1:6" x14ac:dyDescent="0.3">
      <c r="A258" s="44">
        <v>42695.87267005787</v>
      </c>
      <c r="B258" s="45" t="s">
        <v>53</v>
      </c>
      <c r="C258" s="45">
        <v>28</v>
      </c>
      <c r="D258" s="45">
        <f>VLOOKUP(Добавить1[[#This Row],[Товар]],$G$1:$H$14,2,0)*Добавить1[[#This Row],[количество_единиц_товара]]</f>
        <v>50064</v>
      </c>
      <c r="E258" s="45" t="s">
        <v>69</v>
      </c>
      <c r="F258" s="45" t="s">
        <v>94</v>
      </c>
    </row>
    <row r="259" spans="1:6" x14ac:dyDescent="0.3">
      <c r="A259" s="44">
        <v>42697.470730497684</v>
      </c>
      <c r="B259" s="45" t="s">
        <v>51</v>
      </c>
      <c r="C259" s="45">
        <v>21</v>
      </c>
      <c r="D259" s="45">
        <f>VLOOKUP(Добавить1[[#This Row],[Товар]],$G$1:$H$14,2,0)*Добавить1[[#This Row],[количество_единиц_товара]]</f>
        <v>53760</v>
      </c>
      <c r="E259" s="45" t="s">
        <v>71</v>
      </c>
      <c r="F259" s="45" t="s">
        <v>94</v>
      </c>
    </row>
    <row r="260" spans="1:6" x14ac:dyDescent="0.3">
      <c r="A260" s="44">
        <v>42707.020151759258</v>
      </c>
      <c r="B260" s="45" t="s">
        <v>60</v>
      </c>
      <c r="C260" s="45">
        <v>25</v>
      </c>
      <c r="D260" s="45">
        <f>VLOOKUP(Добавить1[[#This Row],[Товар]],$G$1:$H$14,2,0)*Добавить1[[#This Row],[количество_единиц_товара]]</f>
        <v>144725</v>
      </c>
      <c r="E260" s="45" t="s">
        <v>70</v>
      </c>
      <c r="F260" s="45" t="s">
        <v>94</v>
      </c>
    </row>
    <row r="261" spans="1:6" x14ac:dyDescent="0.3">
      <c r="A261" s="44">
        <v>42710.08105241898</v>
      </c>
      <c r="B261" s="45" t="s">
        <v>54</v>
      </c>
      <c r="C261" s="45">
        <v>14</v>
      </c>
      <c r="D261" s="45">
        <f>VLOOKUP(Добавить1[[#This Row],[Товар]],$G$1:$H$14,2,0)*Добавить1[[#This Row],[количество_единиц_товара]]</f>
        <v>34300</v>
      </c>
      <c r="E261" s="45" t="s">
        <v>71</v>
      </c>
      <c r="F261" s="45" t="s">
        <v>94</v>
      </c>
    </row>
    <row r="262" spans="1:6" x14ac:dyDescent="0.3">
      <c r="A262" s="44">
        <v>42711.493975659723</v>
      </c>
      <c r="B262" s="45" t="s">
        <v>61</v>
      </c>
      <c r="C262" s="45">
        <v>11</v>
      </c>
      <c r="D262" s="45">
        <f>VLOOKUP(Добавить1[[#This Row],[Товар]],$G$1:$H$14,2,0)*Добавить1[[#This Row],[количество_единиц_товара]]</f>
        <v>38170</v>
      </c>
      <c r="E262" s="45" t="s">
        <v>69</v>
      </c>
      <c r="F262" s="45" t="s">
        <v>94</v>
      </c>
    </row>
    <row r="263" spans="1:6" x14ac:dyDescent="0.3">
      <c r="A263" s="44">
        <v>42715.02643258102</v>
      </c>
      <c r="B263" s="45" t="s">
        <v>61</v>
      </c>
      <c r="C263" s="45">
        <v>34</v>
      </c>
      <c r="D263" s="45">
        <f>VLOOKUP(Добавить1[[#This Row],[Товар]],$G$1:$H$14,2,0)*Добавить1[[#This Row],[количество_единиц_товара]]</f>
        <v>117980</v>
      </c>
      <c r="E263" s="45" t="s">
        <v>70</v>
      </c>
      <c r="F263" s="45" t="s">
        <v>94</v>
      </c>
    </row>
    <row r="264" spans="1:6" x14ac:dyDescent="0.3">
      <c r="A264" s="44">
        <v>42717.348235393518</v>
      </c>
      <c r="B264" s="45" t="s">
        <v>49</v>
      </c>
      <c r="C264" s="45">
        <v>14</v>
      </c>
      <c r="D264" s="45">
        <f>VLOOKUP(Добавить1[[#This Row],[Товар]],$G$1:$H$14,2,0)*Добавить1[[#This Row],[количество_единиц_товара]]</f>
        <v>43400</v>
      </c>
      <c r="E264" s="45" t="s">
        <v>70</v>
      </c>
      <c r="F264" s="45" t="s">
        <v>94</v>
      </c>
    </row>
    <row r="265" spans="1:6" x14ac:dyDescent="0.3">
      <c r="A265" s="44">
        <v>42725.252883969908</v>
      </c>
      <c r="B265" s="45" t="s">
        <v>61</v>
      </c>
      <c r="C265" s="45">
        <v>12</v>
      </c>
      <c r="D265" s="45">
        <f>VLOOKUP(Добавить1[[#This Row],[Товар]],$G$1:$H$14,2,0)*Добавить1[[#This Row],[количество_единиц_товара]]</f>
        <v>41640</v>
      </c>
      <c r="E265" s="45" t="s">
        <v>70</v>
      </c>
      <c r="F265" s="45" t="s">
        <v>94</v>
      </c>
    </row>
    <row r="266" spans="1:6" x14ac:dyDescent="0.3">
      <c r="A266" s="44">
        <v>42740.721751006946</v>
      </c>
      <c r="B266" s="45" t="s">
        <v>50</v>
      </c>
      <c r="C266" s="45">
        <v>21</v>
      </c>
      <c r="D266" s="45">
        <f>VLOOKUP(Добавить1[[#This Row],[Товар]],$G$1:$H$14,2,0)*Добавить1[[#This Row],[количество_единиц_товара]]</f>
        <v>46200</v>
      </c>
      <c r="E266" s="45" t="s">
        <v>70</v>
      </c>
      <c r="F266" s="45" t="s">
        <v>94</v>
      </c>
    </row>
    <row r="267" spans="1:6" x14ac:dyDescent="0.3">
      <c r="A267" s="44">
        <v>42752.517005208334</v>
      </c>
      <c r="B267" s="45" t="s">
        <v>61</v>
      </c>
      <c r="C267" s="45">
        <v>14</v>
      </c>
      <c r="D267" s="45">
        <f>VLOOKUP(Добавить1[[#This Row],[Товар]],$G$1:$H$14,2,0)*Добавить1[[#This Row],[количество_единиц_товара]]</f>
        <v>48580</v>
      </c>
      <c r="E267" s="45" t="s">
        <v>70</v>
      </c>
      <c r="F267" s="45" t="s">
        <v>94</v>
      </c>
    </row>
    <row r="268" spans="1:6" x14ac:dyDescent="0.3">
      <c r="A268" s="44">
        <v>42758.00816675926</v>
      </c>
      <c r="B268" s="45" t="s">
        <v>58</v>
      </c>
      <c r="C268" s="45">
        <v>25</v>
      </c>
      <c r="D268" s="45">
        <f>VLOOKUP(Добавить1[[#This Row],[Товар]],$G$1:$H$14,2,0)*Добавить1[[#This Row],[количество_единиц_товара]]</f>
        <v>111375</v>
      </c>
      <c r="E268" s="45" t="s">
        <v>69</v>
      </c>
      <c r="F268" s="45" t="s">
        <v>94</v>
      </c>
    </row>
    <row r="269" spans="1:6" x14ac:dyDescent="0.3">
      <c r="A269" s="44">
        <v>42758.628516747682</v>
      </c>
      <c r="B269" s="45" t="s">
        <v>52</v>
      </c>
      <c r="C269" s="45">
        <v>16</v>
      </c>
      <c r="D269" s="45">
        <f>VLOOKUP(Добавить1[[#This Row],[Товар]],$G$1:$H$14,2,0)*Добавить1[[#This Row],[количество_единиц_товара]]</f>
        <v>10880</v>
      </c>
      <c r="E269" s="45" t="s">
        <v>69</v>
      </c>
      <c r="F269" s="45" t="s">
        <v>94</v>
      </c>
    </row>
    <row r="270" spans="1:6" x14ac:dyDescent="0.3">
      <c r="A270" s="44">
        <v>42759.713772523151</v>
      </c>
      <c r="B270" s="45" t="s">
        <v>52</v>
      </c>
      <c r="C270" s="45">
        <v>31</v>
      </c>
      <c r="D270" s="45">
        <f>VLOOKUP(Добавить1[[#This Row],[Товар]],$G$1:$H$14,2,0)*Добавить1[[#This Row],[количество_единиц_товара]]</f>
        <v>21080</v>
      </c>
      <c r="E270" s="45" t="s">
        <v>70</v>
      </c>
      <c r="F270" s="45" t="s">
        <v>94</v>
      </c>
    </row>
    <row r="271" spans="1:6" x14ac:dyDescent="0.3">
      <c r="A271" s="44">
        <v>42801.499128923613</v>
      </c>
      <c r="B271" s="45" t="s">
        <v>52</v>
      </c>
      <c r="C271" s="45">
        <v>28</v>
      </c>
      <c r="D271" s="45">
        <f>VLOOKUP(Добавить1[[#This Row],[Товар]],$G$1:$H$14,2,0)*Добавить1[[#This Row],[количество_единиц_товара]]</f>
        <v>19040</v>
      </c>
      <c r="E271" s="45" t="s">
        <v>69</v>
      </c>
      <c r="F271" s="45" t="s">
        <v>94</v>
      </c>
    </row>
    <row r="272" spans="1:6" x14ac:dyDescent="0.3">
      <c r="A272" s="44">
        <v>42803.795300810183</v>
      </c>
      <c r="B272" s="45" t="s">
        <v>52</v>
      </c>
      <c r="C272" s="45">
        <v>26</v>
      </c>
      <c r="D272" s="45">
        <f>VLOOKUP(Добавить1[[#This Row],[Товар]],$G$1:$H$14,2,0)*Добавить1[[#This Row],[количество_единиц_товара]]</f>
        <v>17680</v>
      </c>
      <c r="E272" s="45" t="s">
        <v>70</v>
      </c>
      <c r="F272" s="45" t="s">
        <v>94</v>
      </c>
    </row>
    <row r="273" spans="1:6" x14ac:dyDescent="0.3">
      <c r="A273" s="44">
        <v>42828.45414454861</v>
      </c>
      <c r="B273" s="45" t="s">
        <v>59</v>
      </c>
      <c r="C273" s="45">
        <v>31</v>
      </c>
      <c r="D273" s="45">
        <f>VLOOKUP(Добавить1[[#This Row],[Товар]],$G$1:$H$14,2,0)*Добавить1[[#This Row],[количество_единиц_товара]]</f>
        <v>62000</v>
      </c>
      <c r="E273" s="45" t="s">
        <v>70</v>
      </c>
      <c r="F273" s="45" t="s">
        <v>94</v>
      </c>
    </row>
    <row r="274" spans="1:6" x14ac:dyDescent="0.3">
      <c r="A274" s="44">
        <v>42829.257070115738</v>
      </c>
      <c r="B274" s="45" t="s">
        <v>56</v>
      </c>
      <c r="C274" s="45">
        <v>33</v>
      </c>
      <c r="D274" s="45">
        <f>VLOOKUP(Добавить1[[#This Row],[Товар]],$G$1:$H$14,2,0)*Добавить1[[#This Row],[количество_единиц_товара]]</f>
        <v>52800</v>
      </c>
      <c r="E274" s="45" t="s">
        <v>69</v>
      </c>
      <c r="F274" s="45" t="s">
        <v>94</v>
      </c>
    </row>
    <row r="275" spans="1:6" x14ac:dyDescent="0.3">
      <c r="A275" s="44">
        <v>42856.823983495371</v>
      </c>
      <c r="B275" s="45" t="s">
        <v>55</v>
      </c>
      <c r="C275" s="45">
        <v>21</v>
      </c>
      <c r="D275" s="45">
        <f>VLOOKUP(Добавить1[[#This Row],[Товар]],$G$1:$H$14,2,0)*Добавить1[[#This Row],[количество_единиц_товара]]</f>
        <v>94500</v>
      </c>
      <c r="E275" s="45" t="s">
        <v>69</v>
      </c>
      <c r="F275" s="45" t="s">
        <v>94</v>
      </c>
    </row>
    <row r="276" spans="1:6" x14ac:dyDescent="0.3">
      <c r="A276" s="44">
        <v>42861.09953712963</v>
      </c>
      <c r="B276" s="45" t="s">
        <v>53</v>
      </c>
      <c r="C276" s="45">
        <v>28</v>
      </c>
      <c r="D276" s="45">
        <f>VLOOKUP(Добавить1[[#This Row],[Товар]],$G$1:$H$14,2,0)*Добавить1[[#This Row],[количество_единиц_товара]]</f>
        <v>50064</v>
      </c>
      <c r="E276" s="45" t="s">
        <v>71</v>
      </c>
      <c r="F276" s="45" t="s">
        <v>94</v>
      </c>
    </row>
    <row r="277" spans="1:6" x14ac:dyDescent="0.3">
      <c r="A277" s="44">
        <v>42871.772154004633</v>
      </c>
      <c r="B277" s="45" t="s">
        <v>51</v>
      </c>
      <c r="C277" s="45">
        <v>22</v>
      </c>
      <c r="D277" s="45">
        <f>VLOOKUP(Добавить1[[#This Row],[Товар]],$G$1:$H$14,2,0)*Добавить1[[#This Row],[количество_единиц_товара]]</f>
        <v>56320</v>
      </c>
      <c r="E277" s="45" t="s">
        <v>70</v>
      </c>
      <c r="F277" s="45" t="s">
        <v>94</v>
      </c>
    </row>
    <row r="278" spans="1:6" x14ac:dyDescent="0.3">
      <c r="A278" s="44">
        <v>42876.603492152775</v>
      </c>
      <c r="B278" s="45" t="s">
        <v>54</v>
      </c>
      <c r="C278" s="45">
        <v>29</v>
      </c>
      <c r="D278" s="45">
        <f>VLOOKUP(Добавить1[[#This Row],[Товар]],$G$1:$H$14,2,0)*Добавить1[[#This Row],[количество_единиц_товара]]</f>
        <v>71050</v>
      </c>
      <c r="E278" s="45" t="s">
        <v>70</v>
      </c>
      <c r="F278" s="45" t="s">
        <v>94</v>
      </c>
    </row>
    <row r="279" spans="1:6" x14ac:dyDescent="0.3">
      <c r="A279" s="44">
        <v>42877.29025489583</v>
      </c>
      <c r="B279" s="45" t="s">
        <v>55</v>
      </c>
      <c r="C279" s="45">
        <v>11</v>
      </c>
      <c r="D279" s="45">
        <f>VLOOKUP(Добавить1[[#This Row],[Товар]],$G$1:$H$14,2,0)*Добавить1[[#This Row],[количество_единиц_товара]]</f>
        <v>49500</v>
      </c>
      <c r="E279" s="45" t="s">
        <v>70</v>
      </c>
      <c r="F279" s="45" t="s">
        <v>94</v>
      </c>
    </row>
    <row r="280" spans="1:6" x14ac:dyDescent="0.3">
      <c r="A280" s="44">
        <v>42884.919297210647</v>
      </c>
      <c r="B280" s="45" t="s">
        <v>56</v>
      </c>
      <c r="C280" s="45">
        <v>40</v>
      </c>
      <c r="D280" s="45">
        <f>VLOOKUP(Добавить1[[#This Row],[Товар]],$G$1:$H$14,2,0)*Добавить1[[#This Row],[количество_единиц_товара]]</f>
        <v>64000</v>
      </c>
      <c r="E280" s="45" t="s">
        <v>69</v>
      </c>
      <c r="F280" s="45" t="s">
        <v>94</v>
      </c>
    </row>
    <row r="281" spans="1:6" x14ac:dyDescent="0.3">
      <c r="A281" s="44">
        <v>42887.959220300923</v>
      </c>
      <c r="B281" s="45" t="s">
        <v>52</v>
      </c>
      <c r="C281" s="45">
        <v>28</v>
      </c>
      <c r="D281" s="45">
        <f>VLOOKUP(Добавить1[[#This Row],[Товар]],$G$1:$H$14,2,0)*Добавить1[[#This Row],[количество_единиц_товара]]</f>
        <v>19040</v>
      </c>
      <c r="E281" s="45" t="s">
        <v>71</v>
      </c>
      <c r="F281" s="45" t="s">
        <v>94</v>
      </c>
    </row>
    <row r="282" spans="1:6" x14ac:dyDescent="0.3">
      <c r="A282" s="44">
        <v>42890.909771365739</v>
      </c>
      <c r="B282" s="45" t="s">
        <v>51</v>
      </c>
      <c r="C282" s="45">
        <v>20</v>
      </c>
      <c r="D282" s="45">
        <f>VLOOKUP(Добавить1[[#This Row],[Товар]],$G$1:$H$14,2,0)*Добавить1[[#This Row],[количество_единиц_товара]]</f>
        <v>51200</v>
      </c>
      <c r="E282" s="45" t="s">
        <v>71</v>
      </c>
      <c r="F282" s="45" t="s">
        <v>94</v>
      </c>
    </row>
    <row r="283" spans="1:6" x14ac:dyDescent="0.3">
      <c r="A283" s="44">
        <v>42908.185525358793</v>
      </c>
      <c r="B283" s="45" t="s">
        <v>61</v>
      </c>
      <c r="C283" s="45">
        <v>27</v>
      </c>
      <c r="D283" s="45">
        <f>VLOOKUP(Добавить1[[#This Row],[Товар]],$G$1:$H$14,2,0)*Добавить1[[#This Row],[количество_единиц_товара]]</f>
        <v>93690</v>
      </c>
      <c r="E283" s="45" t="s">
        <v>69</v>
      </c>
      <c r="F283" s="45" t="s">
        <v>94</v>
      </c>
    </row>
    <row r="284" spans="1:6" x14ac:dyDescent="0.3">
      <c r="A284" s="44">
        <v>42929.758683437503</v>
      </c>
      <c r="B284" s="45" t="s">
        <v>59</v>
      </c>
      <c r="C284" s="45">
        <v>18</v>
      </c>
      <c r="D284" s="45">
        <f>VLOOKUP(Добавить1[[#This Row],[Товар]],$G$1:$H$14,2,0)*Добавить1[[#This Row],[количество_единиц_товара]]</f>
        <v>36000</v>
      </c>
      <c r="E284" s="45" t="s">
        <v>71</v>
      </c>
      <c r="F284" s="45" t="s">
        <v>94</v>
      </c>
    </row>
    <row r="285" spans="1:6" x14ac:dyDescent="0.3">
      <c r="A285" s="44">
        <v>42935.416786145834</v>
      </c>
      <c r="B285" s="45" t="s">
        <v>59</v>
      </c>
      <c r="C285" s="45">
        <v>28</v>
      </c>
      <c r="D285" s="45">
        <f>VLOOKUP(Добавить1[[#This Row],[Товар]],$G$1:$H$14,2,0)*Добавить1[[#This Row],[количество_единиц_товара]]</f>
        <v>56000</v>
      </c>
      <c r="E285" s="45" t="s">
        <v>70</v>
      </c>
      <c r="F285" s="45" t="s">
        <v>94</v>
      </c>
    </row>
    <row r="286" spans="1:6" x14ac:dyDescent="0.3">
      <c r="A286" s="44">
        <v>42938.965791458337</v>
      </c>
      <c r="B286" s="45" t="s">
        <v>53</v>
      </c>
      <c r="C286" s="45">
        <v>38</v>
      </c>
      <c r="D286" s="45">
        <f>VLOOKUP(Добавить1[[#This Row],[Товар]],$G$1:$H$14,2,0)*Добавить1[[#This Row],[количество_единиц_товара]]</f>
        <v>67944</v>
      </c>
      <c r="E286" s="45" t="s">
        <v>70</v>
      </c>
      <c r="F286" s="45" t="s">
        <v>94</v>
      </c>
    </row>
    <row r="287" spans="1:6" x14ac:dyDescent="0.3">
      <c r="A287" s="44">
        <v>42947.778304467596</v>
      </c>
      <c r="B287" s="45" t="s">
        <v>51</v>
      </c>
      <c r="C287" s="45">
        <v>29</v>
      </c>
      <c r="D287" s="45">
        <f>VLOOKUP(Добавить1[[#This Row],[Товар]],$G$1:$H$14,2,0)*Добавить1[[#This Row],[количество_единиц_товара]]</f>
        <v>74240</v>
      </c>
      <c r="E287" s="45" t="s">
        <v>70</v>
      </c>
      <c r="F287" s="45" t="s">
        <v>94</v>
      </c>
    </row>
    <row r="288" spans="1:6" x14ac:dyDescent="0.3">
      <c r="A288" s="44">
        <v>42956.184174594906</v>
      </c>
      <c r="B288" s="45" t="s">
        <v>54</v>
      </c>
      <c r="C288" s="45">
        <v>33</v>
      </c>
      <c r="D288" s="45">
        <f>VLOOKUP(Добавить1[[#This Row],[Товар]],$G$1:$H$14,2,0)*Добавить1[[#This Row],[количество_единиц_товара]]</f>
        <v>80850</v>
      </c>
      <c r="E288" s="45" t="s">
        <v>70</v>
      </c>
      <c r="F288" s="45" t="s">
        <v>94</v>
      </c>
    </row>
    <row r="289" spans="1:6" x14ac:dyDescent="0.3">
      <c r="A289" s="44">
        <v>42960.26899084491</v>
      </c>
      <c r="B289" s="45" t="s">
        <v>55</v>
      </c>
      <c r="C289" s="45">
        <v>25</v>
      </c>
      <c r="D289" s="45">
        <f>VLOOKUP(Добавить1[[#This Row],[Товар]],$G$1:$H$14,2,0)*Добавить1[[#This Row],[количество_единиц_товара]]</f>
        <v>112500</v>
      </c>
      <c r="E289" s="45" t="s">
        <v>69</v>
      </c>
      <c r="F289" s="45" t="s">
        <v>94</v>
      </c>
    </row>
    <row r="290" spans="1:6" x14ac:dyDescent="0.3">
      <c r="A290" s="44">
        <v>42969.714638530095</v>
      </c>
      <c r="B290" s="45" t="s">
        <v>59</v>
      </c>
      <c r="C290" s="45">
        <v>30</v>
      </c>
      <c r="D290" s="45">
        <f>VLOOKUP(Добавить1[[#This Row],[Товар]],$G$1:$H$14,2,0)*Добавить1[[#This Row],[количество_единиц_товара]]</f>
        <v>60000</v>
      </c>
      <c r="E290" s="45" t="s">
        <v>69</v>
      </c>
      <c r="F290" s="45" t="s">
        <v>94</v>
      </c>
    </row>
    <row r="291" spans="1:6" x14ac:dyDescent="0.3">
      <c r="A291" s="44">
        <v>42971.137485011575</v>
      </c>
      <c r="B291" s="45" t="s">
        <v>59</v>
      </c>
      <c r="C291" s="45">
        <v>40</v>
      </c>
      <c r="D291" s="45">
        <f>VLOOKUP(Добавить1[[#This Row],[Товар]],$G$1:$H$14,2,0)*Добавить1[[#This Row],[количество_единиц_товара]]</f>
        <v>80000</v>
      </c>
      <c r="E291" s="45" t="s">
        <v>69</v>
      </c>
      <c r="F291" s="45" t="s">
        <v>94</v>
      </c>
    </row>
    <row r="292" spans="1:6" x14ac:dyDescent="0.3">
      <c r="A292" s="44">
        <v>42973.106403136575</v>
      </c>
      <c r="B292" s="45" t="s">
        <v>51</v>
      </c>
      <c r="C292" s="45">
        <v>13</v>
      </c>
      <c r="D292" s="45">
        <f>VLOOKUP(Добавить1[[#This Row],[Товар]],$G$1:$H$14,2,0)*Добавить1[[#This Row],[количество_единиц_товара]]</f>
        <v>33280</v>
      </c>
      <c r="E292" s="45" t="s">
        <v>69</v>
      </c>
      <c r="F292" s="45" t="s">
        <v>94</v>
      </c>
    </row>
    <row r="293" spans="1:6" x14ac:dyDescent="0.3">
      <c r="A293" s="44">
        <v>42982.823433900463</v>
      </c>
      <c r="B293" s="45" t="s">
        <v>52</v>
      </c>
      <c r="C293" s="45">
        <v>20</v>
      </c>
      <c r="D293" s="45">
        <f>VLOOKUP(Добавить1[[#This Row],[Товар]],$G$1:$H$14,2,0)*Добавить1[[#This Row],[количество_единиц_товара]]</f>
        <v>13600</v>
      </c>
      <c r="E293" s="45" t="s">
        <v>70</v>
      </c>
      <c r="F293" s="45" t="s">
        <v>94</v>
      </c>
    </row>
    <row r="294" spans="1:6" x14ac:dyDescent="0.3">
      <c r="A294" s="44">
        <v>42986.473383807868</v>
      </c>
      <c r="B294" s="45" t="s">
        <v>49</v>
      </c>
      <c r="C294" s="45">
        <v>27</v>
      </c>
      <c r="D294" s="45">
        <f>VLOOKUP(Добавить1[[#This Row],[Товар]],$G$1:$H$14,2,0)*Добавить1[[#This Row],[количество_единиц_товара]]</f>
        <v>83700</v>
      </c>
      <c r="E294" s="45" t="s">
        <v>71</v>
      </c>
      <c r="F294" s="45" t="s">
        <v>94</v>
      </c>
    </row>
    <row r="295" spans="1:6" x14ac:dyDescent="0.3">
      <c r="A295" s="44">
        <v>42992.620621724534</v>
      </c>
      <c r="B295" s="45" t="s">
        <v>53</v>
      </c>
      <c r="C295" s="45">
        <v>32</v>
      </c>
      <c r="D295" s="45">
        <f>VLOOKUP(Добавить1[[#This Row],[Товар]],$G$1:$H$14,2,0)*Добавить1[[#This Row],[количество_единиц_товара]]</f>
        <v>57216</v>
      </c>
      <c r="E295" s="45" t="s">
        <v>71</v>
      </c>
      <c r="F295" s="45" t="s">
        <v>94</v>
      </c>
    </row>
    <row r="296" spans="1:6" x14ac:dyDescent="0.3">
      <c r="A296" s="44">
        <v>43009.998540717592</v>
      </c>
      <c r="B296" s="45" t="s">
        <v>54</v>
      </c>
      <c r="C296" s="45">
        <v>29</v>
      </c>
      <c r="D296" s="45">
        <f>VLOOKUP(Добавить1[[#This Row],[Товар]],$G$1:$H$14,2,0)*Добавить1[[#This Row],[количество_единиц_товара]]</f>
        <v>71050</v>
      </c>
      <c r="E296" s="45" t="s">
        <v>71</v>
      </c>
      <c r="F296" s="45" t="s">
        <v>94</v>
      </c>
    </row>
    <row r="297" spans="1:6" x14ac:dyDescent="0.3">
      <c r="A297" s="44">
        <v>43015.480833657406</v>
      </c>
      <c r="B297" s="45" t="s">
        <v>50</v>
      </c>
      <c r="C297" s="45">
        <v>23</v>
      </c>
      <c r="D297" s="45">
        <f>VLOOKUP(Добавить1[[#This Row],[Товар]],$G$1:$H$14,2,0)*Добавить1[[#This Row],[количество_единиц_товара]]</f>
        <v>50600</v>
      </c>
      <c r="E297" s="45" t="s">
        <v>70</v>
      </c>
      <c r="F297" s="45" t="s">
        <v>94</v>
      </c>
    </row>
    <row r="298" spans="1:6" x14ac:dyDescent="0.3">
      <c r="A298" s="44">
        <v>43023.421094444442</v>
      </c>
      <c r="B298" s="45" t="s">
        <v>49</v>
      </c>
      <c r="C298" s="45">
        <v>21</v>
      </c>
      <c r="D298" s="45">
        <f>VLOOKUP(Добавить1[[#This Row],[Товар]],$G$1:$H$14,2,0)*Добавить1[[#This Row],[количество_единиц_товара]]</f>
        <v>65100</v>
      </c>
      <c r="E298" s="45" t="s">
        <v>70</v>
      </c>
      <c r="F298" s="45" t="s">
        <v>94</v>
      </c>
    </row>
    <row r="299" spans="1:6" x14ac:dyDescent="0.3">
      <c r="A299" s="44">
        <v>43039.425224814811</v>
      </c>
      <c r="B299" s="45" t="s">
        <v>52</v>
      </c>
      <c r="C299" s="45">
        <v>23</v>
      </c>
      <c r="D299" s="45">
        <f>VLOOKUP(Добавить1[[#This Row],[Товар]],$G$1:$H$14,2,0)*Добавить1[[#This Row],[количество_единиц_товара]]</f>
        <v>15640</v>
      </c>
      <c r="E299" s="45" t="s">
        <v>70</v>
      </c>
      <c r="F299" s="45" t="s">
        <v>94</v>
      </c>
    </row>
    <row r="300" spans="1:6" x14ac:dyDescent="0.3">
      <c r="A300" s="44">
        <v>43052.640267511575</v>
      </c>
      <c r="B300" s="45" t="s">
        <v>58</v>
      </c>
      <c r="C300" s="45">
        <v>18</v>
      </c>
      <c r="D300" s="45">
        <f>VLOOKUP(Добавить1[[#This Row],[Товар]],$G$1:$H$14,2,0)*Добавить1[[#This Row],[количество_единиц_товара]]</f>
        <v>80190</v>
      </c>
      <c r="E300" s="45" t="s">
        <v>70</v>
      </c>
      <c r="F300" s="45" t="s">
        <v>94</v>
      </c>
    </row>
    <row r="301" spans="1:6" x14ac:dyDescent="0.3">
      <c r="A301" s="44">
        <v>43055.255951377316</v>
      </c>
      <c r="B301" s="45" t="s">
        <v>55</v>
      </c>
      <c r="C301" s="45">
        <v>32</v>
      </c>
      <c r="D301" s="45">
        <f>VLOOKUP(Добавить1[[#This Row],[Товар]],$G$1:$H$14,2,0)*Добавить1[[#This Row],[количество_единиц_товара]]</f>
        <v>144000</v>
      </c>
      <c r="E301" s="45" t="s">
        <v>70</v>
      </c>
      <c r="F301" s="45" t="s">
        <v>94</v>
      </c>
    </row>
    <row r="302" spans="1:6" x14ac:dyDescent="0.3">
      <c r="A302" s="44">
        <v>43058.041558703706</v>
      </c>
      <c r="B302" s="45" t="s">
        <v>59</v>
      </c>
      <c r="C302" s="45">
        <v>30</v>
      </c>
      <c r="D302" s="45">
        <f>VLOOKUP(Добавить1[[#This Row],[Товар]],$G$1:$H$14,2,0)*Добавить1[[#This Row],[количество_единиц_товара]]</f>
        <v>60000</v>
      </c>
      <c r="E302" s="45" t="s">
        <v>70</v>
      </c>
      <c r="F302" s="45" t="s">
        <v>94</v>
      </c>
    </row>
    <row r="303" spans="1:6" x14ac:dyDescent="0.3">
      <c r="A303" s="44">
        <v>43064.780008668982</v>
      </c>
      <c r="B303" s="45" t="s">
        <v>58</v>
      </c>
      <c r="C303" s="45">
        <v>14</v>
      </c>
      <c r="D303" s="45">
        <f>VLOOKUP(Добавить1[[#This Row],[Товар]],$G$1:$H$14,2,0)*Добавить1[[#This Row],[количество_единиц_товара]]</f>
        <v>62370</v>
      </c>
      <c r="E303" s="45" t="s">
        <v>69</v>
      </c>
      <c r="F303" s="45" t="s">
        <v>94</v>
      </c>
    </row>
    <row r="304" spans="1:6" x14ac:dyDescent="0.3">
      <c r="A304" s="44">
        <v>43078.337569571762</v>
      </c>
      <c r="B304" s="45" t="s">
        <v>59</v>
      </c>
      <c r="C304" s="45">
        <v>20</v>
      </c>
      <c r="D304" s="45">
        <f>VLOOKUP(Добавить1[[#This Row],[Товар]],$G$1:$H$14,2,0)*Добавить1[[#This Row],[количество_единиц_товара]]</f>
        <v>40000</v>
      </c>
      <c r="E304" s="45" t="s">
        <v>71</v>
      </c>
      <c r="F304" s="45" t="s">
        <v>94</v>
      </c>
    </row>
    <row r="305" spans="1:6" x14ac:dyDescent="0.3">
      <c r="A305" s="44">
        <v>43087.763155347224</v>
      </c>
      <c r="B305" s="45" t="s">
        <v>54</v>
      </c>
      <c r="C305" s="45">
        <v>36</v>
      </c>
      <c r="D305" s="45">
        <f>VLOOKUP(Добавить1[[#This Row],[Товар]],$G$1:$H$14,2,0)*Добавить1[[#This Row],[количество_единиц_товара]]</f>
        <v>88200</v>
      </c>
      <c r="E305" s="45" t="s">
        <v>70</v>
      </c>
      <c r="F305" s="45" t="s">
        <v>94</v>
      </c>
    </row>
    <row r="306" spans="1:6" x14ac:dyDescent="0.3">
      <c r="A306" s="44">
        <v>43098.951082650463</v>
      </c>
      <c r="B306" s="45" t="s">
        <v>58</v>
      </c>
      <c r="C306" s="45">
        <v>31</v>
      </c>
      <c r="D306" s="45">
        <f>VLOOKUP(Добавить1[[#This Row],[Товар]],$G$1:$H$14,2,0)*Добавить1[[#This Row],[количество_единиц_товара]]</f>
        <v>138105</v>
      </c>
      <c r="E306" s="45" t="s">
        <v>70</v>
      </c>
      <c r="F306" s="45" t="s">
        <v>94</v>
      </c>
    </row>
    <row r="307" spans="1:6" x14ac:dyDescent="0.3">
      <c r="A307" s="44">
        <v>43099.42799689815</v>
      </c>
      <c r="B307" s="45" t="s">
        <v>59</v>
      </c>
      <c r="C307" s="45">
        <v>31</v>
      </c>
      <c r="D307" s="45">
        <f>VLOOKUP(Добавить1[[#This Row],[Товар]],$G$1:$H$14,2,0)*Добавить1[[#This Row],[количество_единиц_товара]]</f>
        <v>62000</v>
      </c>
      <c r="E307" s="45" t="s">
        <v>70</v>
      </c>
      <c r="F307" s="45" t="s">
        <v>94</v>
      </c>
    </row>
    <row r="308" spans="1:6" x14ac:dyDescent="0.3">
      <c r="A308" s="44">
        <v>43107.713158171297</v>
      </c>
      <c r="B308" s="45" t="s">
        <v>59</v>
      </c>
      <c r="C308" s="45">
        <v>27</v>
      </c>
      <c r="D308" s="45">
        <f>VLOOKUP(Добавить1[[#This Row],[Товар]],$G$1:$H$14,2,0)*Добавить1[[#This Row],[количество_единиц_товара]]</f>
        <v>54000</v>
      </c>
      <c r="E308" s="45" t="s">
        <v>70</v>
      </c>
      <c r="F308" s="45" t="s">
        <v>94</v>
      </c>
    </row>
    <row r="309" spans="1:6" x14ac:dyDescent="0.3">
      <c r="A309" s="44">
        <v>43122.395711874997</v>
      </c>
      <c r="B309" s="45" t="s">
        <v>55</v>
      </c>
      <c r="C309" s="45">
        <v>20</v>
      </c>
      <c r="D309" s="45">
        <f>VLOOKUP(Добавить1[[#This Row],[Товар]],$G$1:$H$14,2,0)*Добавить1[[#This Row],[количество_единиц_товара]]</f>
        <v>90000</v>
      </c>
      <c r="E309" s="45" t="s">
        <v>69</v>
      </c>
      <c r="F309" s="45" t="s">
        <v>94</v>
      </c>
    </row>
    <row r="310" spans="1:6" x14ac:dyDescent="0.3">
      <c r="A310" s="44">
        <v>43124.114366111113</v>
      </c>
      <c r="B310" s="45" t="s">
        <v>59</v>
      </c>
      <c r="C310" s="45">
        <v>22</v>
      </c>
      <c r="D310" s="45">
        <f>VLOOKUP(Добавить1[[#This Row],[Товар]],$G$1:$H$14,2,0)*Добавить1[[#This Row],[количество_единиц_товара]]</f>
        <v>44000</v>
      </c>
      <c r="E310" s="45" t="s">
        <v>71</v>
      </c>
      <c r="F310" s="45" t="s">
        <v>94</v>
      </c>
    </row>
    <row r="311" spans="1:6" x14ac:dyDescent="0.3">
      <c r="A311" s="44">
        <v>43135.537289409724</v>
      </c>
      <c r="B311" s="45" t="s">
        <v>56</v>
      </c>
      <c r="C311" s="45">
        <v>10</v>
      </c>
      <c r="D311" s="45">
        <f>VLOOKUP(Добавить1[[#This Row],[Товар]],$G$1:$H$14,2,0)*Добавить1[[#This Row],[количество_единиц_товара]]</f>
        <v>16000</v>
      </c>
      <c r="E311" s="45" t="s">
        <v>70</v>
      </c>
      <c r="F311" s="45" t="s">
        <v>94</v>
      </c>
    </row>
    <row r="312" spans="1:6" x14ac:dyDescent="0.3">
      <c r="A312" s="44">
        <v>43135.589923530089</v>
      </c>
      <c r="B312" s="45" t="s">
        <v>55</v>
      </c>
      <c r="C312" s="45">
        <v>21</v>
      </c>
      <c r="D312" s="45">
        <f>VLOOKUP(Добавить1[[#This Row],[Товар]],$G$1:$H$14,2,0)*Добавить1[[#This Row],[количество_единиц_товара]]</f>
        <v>94500</v>
      </c>
      <c r="E312" s="45" t="s">
        <v>71</v>
      </c>
      <c r="F312" s="45" t="s">
        <v>94</v>
      </c>
    </row>
    <row r="313" spans="1:6" x14ac:dyDescent="0.3">
      <c r="A313" s="44">
        <v>43155.143971956022</v>
      </c>
      <c r="B313" s="45" t="s">
        <v>56</v>
      </c>
      <c r="C313" s="45">
        <v>11</v>
      </c>
      <c r="D313" s="45">
        <f>VLOOKUP(Добавить1[[#This Row],[Товар]],$G$1:$H$14,2,0)*Добавить1[[#This Row],[количество_единиц_товара]]</f>
        <v>17600</v>
      </c>
      <c r="E313" s="45" t="s">
        <v>69</v>
      </c>
      <c r="F313" s="45" t="s">
        <v>94</v>
      </c>
    </row>
    <row r="314" spans="1:6" x14ac:dyDescent="0.3">
      <c r="A314" s="44">
        <v>43156.488717476852</v>
      </c>
      <c r="B314" s="45" t="s">
        <v>56</v>
      </c>
      <c r="C314" s="45">
        <v>10</v>
      </c>
      <c r="D314" s="45">
        <f>VLOOKUP(Добавить1[[#This Row],[Товар]],$G$1:$H$14,2,0)*Добавить1[[#This Row],[количество_единиц_товара]]</f>
        <v>16000</v>
      </c>
      <c r="E314" s="45" t="s">
        <v>70</v>
      </c>
      <c r="F314" s="45" t="s">
        <v>94</v>
      </c>
    </row>
    <row r="315" spans="1:6" x14ac:dyDescent="0.3">
      <c r="A315" s="44">
        <v>43162.09049480324</v>
      </c>
      <c r="B315" s="45" t="s">
        <v>60</v>
      </c>
      <c r="C315" s="45">
        <v>24</v>
      </c>
      <c r="D315" s="45">
        <f>VLOOKUP(Добавить1[[#This Row],[Товар]],$G$1:$H$14,2,0)*Добавить1[[#This Row],[количество_единиц_товара]]</f>
        <v>138936</v>
      </c>
      <c r="E315" s="45" t="s">
        <v>70</v>
      </c>
      <c r="F315" s="45" t="s">
        <v>94</v>
      </c>
    </row>
    <row r="316" spans="1:6" x14ac:dyDescent="0.3">
      <c r="A316" s="44">
        <v>43189.794962199077</v>
      </c>
      <c r="B316" s="45" t="s">
        <v>50</v>
      </c>
      <c r="C316" s="45">
        <v>12</v>
      </c>
      <c r="D316" s="45">
        <f>VLOOKUP(Добавить1[[#This Row],[Товар]],$G$1:$H$14,2,0)*Добавить1[[#This Row],[количество_единиц_товара]]</f>
        <v>26400</v>
      </c>
      <c r="E316" s="45" t="s">
        <v>70</v>
      </c>
      <c r="F316" s="45" t="s">
        <v>94</v>
      </c>
    </row>
    <row r="317" spans="1:6" x14ac:dyDescent="0.3">
      <c r="A317" s="44">
        <v>43194.56056096065</v>
      </c>
      <c r="B317" s="45" t="s">
        <v>56</v>
      </c>
      <c r="C317" s="45">
        <v>35</v>
      </c>
      <c r="D317" s="45">
        <f>VLOOKUP(Добавить1[[#This Row],[Товар]],$G$1:$H$14,2,0)*Добавить1[[#This Row],[количество_единиц_товара]]</f>
        <v>56000</v>
      </c>
      <c r="E317" s="45" t="s">
        <v>70</v>
      </c>
      <c r="F317" s="45" t="s">
        <v>94</v>
      </c>
    </row>
    <row r="318" spans="1:6" x14ac:dyDescent="0.3">
      <c r="A318" s="44">
        <v>43195.481773472224</v>
      </c>
      <c r="B318" s="45" t="s">
        <v>55</v>
      </c>
      <c r="C318" s="45">
        <v>33</v>
      </c>
      <c r="D318" s="45">
        <f>VLOOKUP(Добавить1[[#This Row],[Товар]],$G$1:$H$14,2,0)*Добавить1[[#This Row],[количество_единиц_товара]]</f>
        <v>148500</v>
      </c>
      <c r="E318" s="45" t="s">
        <v>70</v>
      </c>
      <c r="F318" s="45" t="s">
        <v>94</v>
      </c>
    </row>
    <row r="319" spans="1:6" x14ac:dyDescent="0.3">
      <c r="A319" s="44">
        <v>43199.222573865743</v>
      </c>
      <c r="B319" s="45" t="s">
        <v>51</v>
      </c>
      <c r="C319" s="45">
        <v>28</v>
      </c>
      <c r="D319" s="45">
        <f>VLOOKUP(Добавить1[[#This Row],[Товар]],$G$1:$H$14,2,0)*Добавить1[[#This Row],[количество_единиц_товара]]</f>
        <v>71680</v>
      </c>
      <c r="E319" s="45" t="s">
        <v>69</v>
      </c>
      <c r="F319" s="45" t="s">
        <v>94</v>
      </c>
    </row>
    <row r="320" spans="1:6" x14ac:dyDescent="0.3">
      <c r="A320" s="44">
        <v>43212.240397499998</v>
      </c>
      <c r="B320" s="45" t="s">
        <v>51</v>
      </c>
      <c r="C320" s="45">
        <v>29</v>
      </c>
      <c r="D320" s="45">
        <f>VLOOKUP(Добавить1[[#This Row],[Товар]],$G$1:$H$14,2,0)*Добавить1[[#This Row],[количество_единиц_товара]]</f>
        <v>74240</v>
      </c>
      <c r="E320" s="45" t="s">
        <v>69</v>
      </c>
      <c r="F320" s="45" t="s">
        <v>94</v>
      </c>
    </row>
    <row r="321" spans="1:6" x14ac:dyDescent="0.3">
      <c r="A321" s="44">
        <v>43228.962223622686</v>
      </c>
      <c r="B321" s="45" t="s">
        <v>55</v>
      </c>
      <c r="C321" s="45">
        <v>19</v>
      </c>
      <c r="D321" s="45">
        <f>VLOOKUP(Добавить1[[#This Row],[Товар]],$G$1:$H$14,2,0)*Добавить1[[#This Row],[количество_единиц_товара]]</f>
        <v>85500</v>
      </c>
      <c r="E321" s="45" t="s">
        <v>70</v>
      </c>
      <c r="F321" s="45" t="s">
        <v>94</v>
      </c>
    </row>
    <row r="322" spans="1:6" x14ac:dyDescent="0.3">
      <c r="A322" s="44">
        <v>43231.192809097221</v>
      </c>
      <c r="B322" s="45" t="s">
        <v>51</v>
      </c>
      <c r="C322" s="45">
        <v>16</v>
      </c>
      <c r="D322" s="45">
        <f>VLOOKUP(Добавить1[[#This Row],[Товар]],$G$1:$H$14,2,0)*Добавить1[[#This Row],[количество_единиц_товара]]</f>
        <v>40960</v>
      </c>
      <c r="E322" s="45" t="s">
        <v>69</v>
      </c>
      <c r="F322" s="45" t="s">
        <v>94</v>
      </c>
    </row>
    <row r="323" spans="1:6" x14ac:dyDescent="0.3">
      <c r="A323" s="44">
        <v>43238.897952199077</v>
      </c>
      <c r="B323" s="45" t="s">
        <v>58</v>
      </c>
      <c r="C323" s="45">
        <v>21</v>
      </c>
      <c r="D323" s="45">
        <f>VLOOKUP(Добавить1[[#This Row],[Товар]],$G$1:$H$14,2,0)*Добавить1[[#This Row],[количество_единиц_товара]]</f>
        <v>93555</v>
      </c>
      <c r="E323" s="45" t="s">
        <v>70</v>
      </c>
      <c r="F323" s="45" t="s">
        <v>94</v>
      </c>
    </row>
    <row r="324" spans="1:6" x14ac:dyDescent="0.3">
      <c r="A324" s="44">
        <v>43250.33770246528</v>
      </c>
      <c r="B324" s="45" t="s">
        <v>60</v>
      </c>
      <c r="C324" s="45">
        <v>38</v>
      </c>
      <c r="D324" s="45">
        <f>VLOOKUP(Добавить1[[#This Row],[Товар]],$G$1:$H$14,2,0)*Добавить1[[#This Row],[количество_единиц_товара]]</f>
        <v>219982</v>
      </c>
      <c r="E324" s="45" t="s">
        <v>70</v>
      </c>
      <c r="F324" s="45" t="s">
        <v>94</v>
      </c>
    </row>
    <row r="325" spans="1:6" x14ac:dyDescent="0.3">
      <c r="A325" s="44">
        <v>43250.590500578706</v>
      </c>
      <c r="B325" s="45" t="s">
        <v>49</v>
      </c>
      <c r="C325" s="45">
        <v>25</v>
      </c>
      <c r="D325" s="45">
        <f>VLOOKUP(Добавить1[[#This Row],[Товар]],$G$1:$H$14,2,0)*Добавить1[[#This Row],[количество_единиц_товара]]</f>
        <v>77500</v>
      </c>
      <c r="E325" s="45" t="s">
        <v>69</v>
      </c>
      <c r="F325" s="45" t="s">
        <v>94</v>
      </c>
    </row>
    <row r="326" spans="1:6" x14ac:dyDescent="0.3">
      <c r="A326" s="44">
        <v>43252.510815057867</v>
      </c>
      <c r="B326" s="45" t="s">
        <v>54</v>
      </c>
      <c r="C326" s="45">
        <v>35</v>
      </c>
      <c r="D326" s="45">
        <f>VLOOKUP(Добавить1[[#This Row],[Товар]],$G$1:$H$14,2,0)*Добавить1[[#This Row],[количество_единиц_товара]]</f>
        <v>85750</v>
      </c>
      <c r="E326" s="45" t="s">
        <v>69</v>
      </c>
      <c r="F326" s="45" t="s">
        <v>94</v>
      </c>
    </row>
    <row r="327" spans="1:6" x14ac:dyDescent="0.3">
      <c r="A327" s="44">
        <v>43272.866184571758</v>
      </c>
      <c r="B327" s="45" t="s">
        <v>50</v>
      </c>
      <c r="C327" s="45">
        <v>22</v>
      </c>
      <c r="D327" s="45">
        <f>VLOOKUP(Добавить1[[#This Row],[Товар]],$G$1:$H$14,2,0)*Добавить1[[#This Row],[количество_единиц_товара]]</f>
        <v>48400</v>
      </c>
      <c r="E327" s="45" t="s">
        <v>70</v>
      </c>
      <c r="F327" s="45" t="s">
        <v>94</v>
      </c>
    </row>
    <row r="328" spans="1:6" x14ac:dyDescent="0.3">
      <c r="A328" s="44">
        <v>43279.964496446759</v>
      </c>
      <c r="B328" s="45" t="s">
        <v>54</v>
      </c>
      <c r="C328" s="45">
        <v>26</v>
      </c>
      <c r="D328" s="45">
        <f>VLOOKUP(Добавить1[[#This Row],[Товар]],$G$1:$H$14,2,0)*Добавить1[[#This Row],[количество_единиц_товара]]</f>
        <v>63700</v>
      </c>
      <c r="E328" s="45" t="s">
        <v>71</v>
      </c>
      <c r="F328" s="45" t="s">
        <v>94</v>
      </c>
    </row>
    <row r="329" spans="1:6" x14ac:dyDescent="0.3">
      <c r="A329" s="44">
        <v>43290.501882303244</v>
      </c>
      <c r="B329" s="45" t="s">
        <v>61</v>
      </c>
      <c r="C329" s="45">
        <v>14</v>
      </c>
      <c r="D329" s="45">
        <f>VLOOKUP(Добавить1[[#This Row],[Товар]],$G$1:$H$14,2,0)*Добавить1[[#This Row],[количество_единиц_товара]]</f>
        <v>48580</v>
      </c>
      <c r="E329" s="45" t="s">
        <v>70</v>
      </c>
      <c r="F329" s="45" t="s">
        <v>94</v>
      </c>
    </row>
    <row r="330" spans="1:6" x14ac:dyDescent="0.3">
      <c r="A330" s="44">
        <v>43293.887583009258</v>
      </c>
      <c r="B330" s="45" t="s">
        <v>50</v>
      </c>
      <c r="C330" s="45">
        <v>11</v>
      </c>
      <c r="D330" s="45">
        <f>VLOOKUP(Добавить1[[#This Row],[Товар]],$G$1:$H$14,2,0)*Добавить1[[#This Row],[количество_единиц_товара]]</f>
        <v>24200</v>
      </c>
      <c r="E330" s="45" t="s">
        <v>69</v>
      </c>
      <c r="F330" s="45" t="s">
        <v>94</v>
      </c>
    </row>
    <row r="331" spans="1:6" x14ac:dyDescent="0.3">
      <c r="A331" s="44">
        <v>43296.650509317129</v>
      </c>
      <c r="B331" s="45" t="s">
        <v>59</v>
      </c>
      <c r="C331" s="45">
        <v>21</v>
      </c>
      <c r="D331" s="45">
        <f>VLOOKUP(Добавить1[[#This Row],[Товар]],$G$1:$H$14,2,0)*Добавить1[[#This Row],[количество_единиц_товара]]</f>
        <v>42000</v>
      </c>
      <c r="E331" s="45" t="s">
        <v>71</v>
      </c>
      <c r="F331" s="45" t="s">
        <v>94</v>
      </c>
    </row>
    <row r="332" spans="1:6" x14ac:dyDescent="0.3">
      <c r="A332" s="44">
        <v>43314.23319767361</v>
      </c>
      <c r="B332" s="45" t="s">
        <v>58</v>
      </c>
      <c r="C332" s="45">
        <v>14</v>
      </c>
      <c r="D332" s="45">
        <f>VLOOKUP(Добавить1[[#This Row],[Товар]],$G$1:$H$14,2,0)*Добавить1[[#This Row],[количество_единиц_товара]]</f>
        <v>62370</v>
      </c>
      <c r="E332" s="45" t="s">
        <v>70</v>
      </c>
      <c r="F332" s="45" t="s">
        <v>94</v>
      </c>
    </row>
    <row r="333" spans="1:6" x14ac:dyDescent="0.3">
      <c r="A333" s="44">
        <v>43324.521243657407</v>
      </c>
      <c r="B333" s="45" t="s">
        <v>61</v>
      </c>
      <c r="C333" s="45">
        <v>27</v>
      </c>
      <c r="D333" s="45">
        <f>VLOOKUP(Добавить1[[#This Row],[Товар]],$G$1:$H$14,2,0)*Добавить1[[#This Row],[количество_единиц_товара]]</f>
        <v>93690</v>
      </c>
      <c r="E333" s="45" t="s">
        <v>71</v>
      </c>
      <c r="F333" s="45" t="s">
        <v>94</v>
      </c>
    </row>
    <row r="334" spans="1:6" x14ac:dyDescent="0.3">
      <c r="A334" s="44">
        <v>43326.432199108793</v>
      </c>
      <c r="B334" s="45" t="s">
        <v>61</v>
      </c>
      <c r="C334" s="45">
        <v>23</v>
      </c>
      <c r="D334" s="45">
        <f>VLOOKUP(Добавить1[[#This Row],[Товар]],$G$1:$H$14,2,0)*Добавить1[[#This Row],[количество_единиц_товара]]</f>
        <v>79810</v>
      </c>
      <c r="E334" s="45" t="s">
        <v>71</v>
      </c>
      <c r="F334" s="45" t="s">
        <v>94</v>
      </c>
    </row>
    <row r="335" spans="1:6" x14ac:dyDescent="0.3">
      <c r="A335" s="44">
        <v>43338.246214166669</v>
      </c>
      <c r="B335" s="45" t="s">
        <v>59</v>
      </c>
      <c r="C335" s="45">
        <v>21</v>
      </c>
      <c r="D335" s="45">
        <f>VLOOKUP(Добавить1[[#This Row],[Товар]],$G$1:$H$14,2,0)*Добавить1[[#This Row],[количество_единиц_товара]]</f>
        <v>42000</v>
      </c>
      <c r="E335" s="45" t="s">
        <v>69</v>
      </c>
      <c r="F335" s="45" t="s">
        <v>94</v>
      </c>
    </row>
    <row r="336" spans="1:6" x14ac:dyDescent="0.3">
      <c r="A336" s="44">
        <v>43342.19654730324</v>
      </c>
      <c r="B336" s="45" t="s">
        <v>50</v>
      </c>
      <c r="C336" s="45">
        <v>23</v>
      </c>
      <c r="D336" s="45">
        <f>VLOOKUP(Добавить1[[#This Row],[Товар]],$G$1:$H$14,2,0)*Добавить1[[#This Row],[количество_единиц_товара]]</f>
        <v>50600</v>
      </c>
      <c r="E336" s="45" t="s">
        <v>70</v>
      </c>
      <c r="F336" s="45" t="s">
        <v>94</v>
      </c>
    </row>
    <row r="337" spans="1:6" x14ac:dyDescent="0.3">
      <c r="A337" s="44">
        <v>43351.671555833331</v>
      </c>
      <c r="B337" s="45" t="s">
        <v>50</v>
      </c>
      <c r="C337" s="45">
        <v>17</v>
      </c>
      <c r="D337" s="45">
        <f>VLOOKUP(Добавить1[[#This Row],[Товар]],$G$1:$H$14,2,0)*Добавить1[[#This Row],[количество_единиц_товара]]</f>
        <v>37400</v>
      </c>
      <c r="E337" s="45" t="s">
        <v>69</v>
      </c>
      <c r="F337" s="45" t="s">
        <v>94</v>
      </c>
    </row>
    <row r="338" spans="1:6" x14ac:dyDescent="0.3">
      <c r="A338" s="44">
        <v>43363.973410706021</v>
      </c>
      <c r="B338" s="45" t="s">
        <v>51</v>
      </c>
      <c r="C338" s="45">
        <v>12</v>
      </c>
      <c r="D338" s="45">
        <f>VLOOKUP(Добавить1[[#This Row],[Товар]],$G$1:$H$14,2,0)*Добавить1[[#This Row],[количество_единиц_товара]]</f>
        <v>30720</v>
      </c>
      <c r="E338" s="45" t="s">
        <v>70</v>
      </c>
      <c r="F338" s="45" t="s">
        <v>94</v>
      </c>
    </row>
    <row r="339" spans="1:6" x14ac:dyDescent="0.3">
      <c r="A339" s="44">
        <v>43379.457328414355</v>
      </c>
      <c r="B339" s="45" t="s">
        <v>52</v>
      </c>
      <c r="C339" s="45">
        <v>17</v>
      </c>
      <c r="D339" s="45">
        <f>VLOOKUP(Добавить1[[#This Row],[Товар]],$G$1:$H$14,2,0)*Добавить1[[#This Row],[количество_единиц_товара]]</f>
        <v>11560</v>
      </c>
      <c r="E339" s="45" t="s">
        <v>69</v>
      </c>
      <c r="F339" s="45" t="s">
        <v>94</v>
      </c>
    </row>
    <row r="340" spans="1:6" x14ac:dyDescent="0.3">
      <c r="A340" s="44">
        <v>43383.345915590275</v>
      </c>
      <c r="B340" s="45" t="s">
        <v>60</v>
      </c>
      <c r="C340" s="45">
        <v>37</v>
      </c>
      <c r="D340" s="45">
        <f>VLOOKUP(Добавить1[[#This Row],[Товар]],$G$1:$H$14,2,0)*Добавить1[[#This Row],[количество_единиц_товара]]</f>
        <v>214193</v>
      </c>
      <c r="E340" s="45" t="s">
        <v>69</v>
      </c>
      <c r="F340" s="45" t="s">
        <v>94</v>
      </c>
    </row>
    <row r="341" spans="1:6" x14ac:dyDescent="0.3">
      <c r="A341" s="44">
        <v>43391.824987812499</v>
      </c>
      <c r="B341" s="45" t="s">
        <v>58</v>
      </c>
      <c r="C341" s="45">
        <v>21</v>
      </c>
      <c r="D341" s="45">
        <f>VLOOKUP(Добавить1[[#This Row],[Товар]],$G$1:$H$14,2,0)*Добавить1[[#This Row],[количество_единиц_товара]]</f>
        <v>93555</v>
      </c>
      <c r="E341" s="45" t="s">
        <v>69</v>
      </c>
      <c r="F341" s="45" t="s">
        <v>94</v>
      </c>
    </row>
    <row r="342" spans="1:6" x14ac:dyDescent="0.3">
      <c r="A342" s="44">
        <v>43396.984761712964</v>
      </c>
      <c r="B342" s="45" t="s">
        <v>52</v>
      </c>
      <c r="C342" s="45">
        <v>39</v>
      </c>
      <c r="D342" s="45">
        <f>VLOOKUP(Добавить1[[#This Row],[Товар]],$G$1:$H$14,2,0)*Добавить1[[#This Row],[количество_единиц_товара]]</f>
        <v>26520</v>
      </c>
      <c r="E342" s="45" t="s">
        <v>69</v>
      </c>
      <c r="F342" s="45" t="s">
        <v>94</v>
      </c>
    </row>
    <row r="343" spans="1:6" x14ac:dyDescent="0.3">
      <c r="A343" s="44">
        <v>43408.647405127318</v>
      </c>
      <c r="B343" s="45" t="s">
        <v>59</v>
      </c>
      <c r="C343" s="45">
        <v>12</v>
      </c>
      <c r="D343" s="45">
        <f>VLOOKUP(Добавить1[[#This Row],[Товар]],$G$1:$H$14,2,0)*Добавить1[[#This Row],[количество_единиц_товара]]</f>
        <v>24000</v>
      </c>
      <c r="E343" s="45" t="s">
        <v>70</v>
      </c>
      <c r="F343" s="45" t="s">
        <v>94</v>
      </c>
    </row>
    <row r="344" spans="1:6" x14ac:dyDescent="0.3">
      <c r="A344" s="44">
        <v>43412.747276909722</v>
      </c>
      <c r="B344" s="45" t="s">
        <v>51</v>
      </c>
      <c r="C344" s="45">
        <v>21</v>
      </c>
      <c r="D344" s="45">
        <f>VLOOKUP(Добавить1[[#This Row],[Товар]],$G$1:$H$14,2,0)*Добавить1[[#This Row],[количество_единиц_товара]]</f>
        <v>53760</v>
      </c>
      <c r="E344" s="45" t="s">
        <v>71</v>
      </c>
      <c r="F344" s="45" t="s">
        <v>94</v>
      </c>
    </row>
    <row r="345" spans="1:6" x14ac:dyDescent="0.3">
      <c r="A345" s="44">
        <v>43423.802943738425</v>
      </c>
      <c r="B345" s="45" t="s">
        <v>51</v>
      </c>
      <c r="C345" s="45">
        <v>37</v>
      </c>
      <c r="D345" s="45">
        <f>VLOOKUP(Добавить1[[#This Row],[Товар]],$G$1:$H$14,2,0)*Добавить1[[#This Row],[количество_единиц_товара]]</f>
        <v>94720</v>
      </c>
      <c r="E345" s="45" t="s">
        <v>71</v>
      </c>
      <c r="F345" s="45" t="s">
        <v>94</v>
      </c>
    </row>
    <row r="346" spans="1:6" x14ac:dyDescent="0.3">
      <c r="A346" s="44">
        <v>43457.203018842592</v>
      </c>
      <c r="B346" s="45" t="s">
        <v>51</v>
      </c>
      <c r="C346" s="45">
        <v>25</v>
      </c>
      <c r="D346" s="45">
        <f>VLOOKUP(Добавить1[[#This Row],[Товар]],$G$1:$H$14,2,0)*Добавить1[[#This Row],[количество_единиц_товара]]</f>
        <v>64000</v>
      </c>
      <c r="E346" s="45" t="s">
        <v>71</v>
      </c>
      <c r="F346" s="45" t="s">
        <v>94</v>
      </c>
    </row>
    <row r="347" spans="1:6" x14ac:dyDescent="0.3">
      <c r="A347" s="44">
        <v>43466.824584374997</v>
      </c>
      <c r="B347" s="45" t="s">
        <v>56</v>
      </c>
      <c r="C347" s="45">
        <v>24</v>
      </c>
      <c r="D347" s="45">
        <f>VLOOKUP(Добавить1[[#This Row],[Товар]],$G$1:$H$14,2,0)*Добавить1[[#This Row],[количество_единиц_товара]]</f>
        <v>38400</v>
      </c>
      <c r="E347" s="45" t="s">
        <v>70</v>
      </c>
      <c r="F347" s="45" t="s">
        <v>94</v>
      </c>
    </row>
    <row r="348" spans="1:6" x14ac:dyDescent="0.3">
      <c r="A348" s="44">
        <v>43472.749503333333</v>
      </c>
      <c r="B348" s="45" t="s">
        <v>60</v>
      </c>
      <c r="C348" s="45">
        <v>30</v>
      </c>
      <c r="D348" s="45">
        <f>VLOOKUP(Добавить1[[#This Row],[Товар]],$G$1:$H$14,2,0)*Добавить1[[#This Row],[количество_единиц_товара]]</f>
        <v>173670</v>
      </c>
      <c r="E348" s="45" t="s">
        <v>70</v>
      </c>
      <c r="F348" s="45" t="s">
        <v>94</v>
      </c>
    </row>
    <row r="349" spans="1:6" x14ac:dyDescent="0.3">
      <c r="A349" s="44">
        <v>43496.826050706019</v>
      </c>
      <c r="B349" s="45" t="s">
        <v>60</v>
      </c>
      <c r="C349" s="45">
        <v>23</v>
      </c>
      <c r="D349" s="45">
        <f>VLOOKUP(Добавить1[[#This Row],[Товар]],$G$1:$H$14,2,0)*Добавить1[[#This Row],[количество_единиц_товара]]</f>
        <v>133147</v>
      </c>
      <c r="E349" s="45" t="s">
        <v>70</v>
      </c>
      <c r="F349" s="45" t="s">
        <v>94</v>
      </c>
    </row>
    <row r="350" spans="1:6" x14ac:dyDescent="0.3">
      <c r="A350" s="44">
        <v>43504.536149583335</v>
      </c>
      <c r="B350" s="45" t="s">
        <v>49</v>
      </c>
      <c r="C350" s="45">
        <v>16</v>
      </c>
      <c r="D350" s="45">
        <f>VLOOKUP(Добавить1[[#This Row],[Товар]],$G$1:$H$14,2,0)*Добавить1[[#This Row],[количество_единиц_товара]]</f>
        <v>49600</v>
      </c>
      <c r="E350" s="45" t="s">
        <v>70</v>
      </c>
      <c r="F350" s="45" t="s">
        <v>94</v>
      </c>
    </row>
    <row r="351" spans="1:6" x14ac:dyDescent="0.3">
      <c r="A351" s="44">
        <v>43527.204560706021</v>
      </c>
      <c r="B351" s="45" t="s">
        <v>56</v>
      </c>
      <c r="C351" s="45">
        <v>19</v>
      </c>
      <c r="D351" s="45">
        <f>VLOOKUP(Добавить1[[#This Row],[Товар]],$G$1:$H$14,2,0)*Добавить1[[#This Row],[количество_единиц_товара]]</f>
        <v>30400</v>
      </c>
      <c r="E351" s="45" t="s">
        <v>70</v>
      </c>
      <c r="F351" s="45" t="s">
        <v>94</v>
      </c>
    </row>
    <row r="352" spans="1:6" x14ac:dyDescent="0.3">
      <c r="A352" s="44">
        <v>43537.717709375</v>
      </c>
      <c r="B352" s="45" t="s">
        <v>52</v>
      </c>
      <c r="C352" s="45">
        <v>26</v>
      </c>
      <c r="D352" s="45">
        <f>VLOOKUP(Добавить1[[#This Row],[Товар]],$G$1:$H$14,2,0)*Добавить1[[#This Row],[количество_единиц_товара]]</f>
        <v>17680</v>
      </c>
      <c r="E352" s="45" t="s">
        <v>70</v>
      </c>
      <c r="F352" s="45" t="s">
        <v>94</v>
      </c>
    </row>
    <row r="353" spans="1:6" x14ac:dyDescent="0.3">
      <c r="A353" s="44">
        <v>43545.756617824074</v>
      </c>
      <c r="B353" s="45" t="s">
        <v>59</v>
      </c>
      <c r="C353" s="45">
        <v>29</v>
      </c>
      <c r="D353" s="45">
        <f>VLOOKUP(Добавить1[[#This Row],[Товар]],$G$1:$H$14,2,0)*Добавить1[[#This Row],[количество_единиц_товара]]</f>
        <v>58000</v>
      </c>
      <c r="E353" s="45" t="s">
        <v>69</v>
      </c>
      <c r="F353" s="45" t="s">
        <v>94</v>
      </c>
    </row>
    <row r="354" spans="1:6" x14ac:dyDescent="0.3">
      <c r="A354" s="44">
        <v>43547.423736331017</v>
      </c>
      <c r="B354" s="45" t="s">
        <v>49</v>
      </c>
      <c r="C354" s="45">
        <v>36</v>
      </c>
      <c r="D354" s="45">
        <f>VLOOKUP(Добавить1[[#This Row],[Товар]],$G$1:$H$14,2,0)*Добавить1[[#This Row],[количество_единиц_товара]]</f>
        <v>111600</v>
      </c>
      <c r="E354" s="45" t="s">
        <v>71</v>
      </c>
      <c r="F354" s="45" t="s">
        <v>94</v>
      </c>
    </row>
    <row r="355" spans="1:6" x14ac:dyDescent="0.3">
      <c r="A355" s="44">
        <v>43576.836745277775</v>
      </c>
      <c r="B355" s="45" t="s">
        <v>54</v>
      </c>
      <c r="C355" s="45">
        <v>29</v>
      </c>
      <c r="D355" s="45">
        <f>VLOOKUP(Добавить1[[#This Row],[Товар]],$G$1:$H$14,2,0)*Добавить1[[#This Row],[количество_единиц_товара]]</f>
        <v>71050</v>
      </c>
      <c r="E355" s="45" t="s">
        <v>70</v>
      </c>
      <c r="F355" s="45" t="s">
        <v>94</v>
      </c>
    </row>
    <row r="356" spans="1:6" x14ac:dyDescent="0.3">
      <c r="A356" s="44">
        <v>43576.995335960652</v>
      </c>
      <c r="B356" s="45" t="s">
        <v>49</v>
      </c>
      <c r="C356" s="45">
        <v>22</v>
      </c>
      <c r="D356" s="45">
        <f>VLOOKUP(Добавить1[[#This Row],[Товар]],$G$1:$H$14,2,0)*Добавить1[[#This Row],[количество_единиц_товара]]</f>
        <v>68200</v>
      </c>
      <c r="E356" s="45" t="s">
        <v>70</v>
      </c>
      <c r="F356" s="45" t="s">
        <v>94</v>
      </c>
    </row>
    <row r="357" spans="1:6" x14ac:dyDescent="0.3">
      <c r="A357" s="44">
        <v>43591.95349190972</v>
      </c>
      <c r="B357" s="45" t="s">
        <v>54</v>
      </c>
      <c r="C357" s="45">
        <v>17</v>
      </c>
      <c r="D357" s="45">
        <f>VLOOKUP(Добавить1[[#This Row],[Товар]],$G$1:$H$14,2,0)*Добавить1[[#This Row],[количество_единиц_товара]]</f>
        <v>41650</v>
      </c>
      <c r="E357" s="45" t="s">
        <v>70</v>
      </c>
      <c r="F357" s="45" t="s">
        <v>94</v>
      </c>
    </row>
    <row r="358" spans="1:6" x14ac:dyDescent="0.3">
      <c r="A358" s="44">
        <v>43625.355065902775</v>
      </c>
      <c r="B358" s="45" t="s">
        <v>51</v>
      </c>
      <c r="C358" s="45">
        <v>17</v>
      </c>
      <c r="D358" s="45">
        <f>VLOOKUP(Добавить1[[#This Row],[Товар]],$G$1:$H$14,2,0)*Добавить1[[#This Row],[количество_единиц_товара]]</f>
        <v>43520</v>
      </c>
      <c r="E358" s="45" t="s">
        <v>70</v>
      </c>
      <c r="F358" s="45" t="s">
        <v>94</v>
      </c>
    </row>
    <row r="359" spans="1:6" x14ac:dyDescent="0.3">
      <c r="A359" s="44">
        <v>43628.571925023149</v>
      </c>
      <c r="B359" s="45" t="s">
        <v>58</v>
      </c>
      <c r="C359" s="45">
        <v>16</v>
      </c>
      <c r="D359" s="45">
        <f>VLOOKUP(Добавить1[[#This Row],[Товар]],$G$1:$H$14,2,0)*Добавить1[[#This Row],[количество_единиц_товара]]</f>
        <v>71280</v>
      </c>
      <c r="E359" s="45" t="s">
        <v>69</v>
      </c>
      <c r="F359" s="45" t="s">
        <v>94</v>
      </c>
    </row>
    <row r="360" spans="1:6" x14ac:dyDescent="0.3">
      <c r="A360" s="44">
        <v>43647.422387812498</v>
      </c>
      <c r="B360" s="45" t="s">
        <v>54</v>
      </c>
      <c r="C360" s="45">
        <v>25</v>
      </c>
      <c r="D360" s="45">
        <f>VLOOKUP(Добавить1[[#This Row],[Товар]],$G$1:$H$14,2,0)*Добавить1[[#This Row],[количество_единиц_товара]]</f>
        <v>61250</v>
      </c>
      <c r="E360" s="45" t="s">
        <v>71</v>
      </c>
      <c r="F360" s="45" t="s">
        <v>94</v>
      </c>
    </row>
    <row r="361" spans="1:6" x14ac:dyDescent="0.3">
      <c r="A361" s="44">
        <v>43648.829930254629</v>
      </c>
      <c r="B361" s="45" t="s">
        <v>52</v>
      </c>
      <c r="C361" s="45">
        <v>27</v>
      </c>
      <c r="D361" s="45">
        <f>VLOOKUP(Добавить1[[#This Row],[Товар]],$G$1:$H$14,2,0)*Добавить1[[#This Row],[количество_единиц_товара]]</f>
        <v>18360</v>
      </c>
      <c r="E361" s="45" t="s">
        <v>70</v>
      </c>
      <c r="F361" s="45" t="s">
        <v>94</v>
      </c>
    </row>
    <row r="362" spans="1:6" x14ac:dyDescent="0.3">
      <c r="A362" s="44">
        <v>43674.156896261571</v>
      </c>
      <c r="B362" s="45" t="s">
        <v>54</v>
      </c>
      <c r="C362" s="45">
        <v>11</v>
      </c>
      <c r="D362" s="45">
        <f>VLOOKUP(Добавить1[[#This Row],[Товар]],$G$1:$H$14,2,0)*Добавить1[[#This Row],[количество_единиц_товара]]</f>
        <v>26950</v>
      </c>
      <c r="E362" s="45" t="s">
        <v>71</v>
      </c>
      <c r="F362" s="45" t="s">
        <v>94</v>
      </c>
    </row>
    <row r="363" spans="1:6" x14ac:dyDescent="0.3">
      <c r="A363" s="44">
        <v>43684.85096729167</v>
      </c>
      <c r="B363" s="45" t="s">
        <v>49</v>
      </c>
      <c r="C363" s="45">
        <v>27</v>
      </c>
      <c r="D363" s="45">
        <f>VLOOKUP(Добавить1[[#This Row],[Товар]],$G$1:$H$14,2,0)*Добавить1[[#This Row],[количество_единиц_товара]]</f>
        <v>83700</v>
      </c>
      <c r="E363" s="45" t="s">
        <v>69</v>
      </c>
      <c r="F363" s="45" t="s">
        <v>94</v>
      </c>
    </row>
    <row r="364" spans="1:6" x14ac:dyDescent="0.3">
      <c r="A364" s="44">
        <v>43738.562952546294</v>
      </c>
      <c r="B364" s="45" t="s">
        <v>54</v>
      </c>
      <c r="C364" s="45">
        <v>35</v>
      </c>
      <c r="D364" s="45">
        <f>VLOOKUP(Добавить1[[#This Row],[Товар]],$G$1:$H$14,2,0)*Добавить1[[#This Row],[количество_единиц_товара]]</f>
        <v>85750</v>
      </c>
      <c r="E364" s="45" t="s">
        <v>70</v>
      </c>
      <c r="F364" s="45" t="s">
        <v>94</v>
      </c>
    </row>
    <row r="365" spans="1:6" x14ac:dyDescent="0.3">
      <c r="A365" s="44">
        <v>43741.368715937497</v>
      </c>
      <c r="B365" s="45" t="s">
        <v>52</v>
      </c>
      <c r="C365" s="45">
        <v>15</v>
      </c>
      <c r="D365" s="45">
        <f>VLOOKUP(Добавить1[[#This Row],[Товар]],$G$1:$H$14,2,0)*Добавить1[[#This Row],[количество_единиц_товара]]</f>
        <v>10200</v>
      </c>
      <c r="E365" s="45" t="s">
        <v>70</v>
      </c>
      <c r="F365" s="45" t="s">
        <v>94</v>
      </c>
    </row>
    <row r="366" spans="1:6" x14ac:dyDescent="0.3">
      <c r="A366" s="44">
        <v>43741.425788136577</v>
      </c>
      <c r="B366" s="45" t="s">
        <v>52</v>
      </c>
      <c r="C366" s="45">
        <v>31</v>
      </c>
      <c r="D366" s="45">
        <f>VLOOKUP(Добавить1[[#This Row],[Товар]],$G$1:$H$14,2,0)*Добавить1[[#This Row],[количество_единиц_товара]]</f>
        <v>21080</v>
      </c>
      <c r="E366" s="45" t="s">
        <v>70</v>
      </c>
      <c r="F366" s="45" t="s">
        <v>94</v>
      </c>
    </row>
    <row r="367" spans="1:6" x14ac:dyDescent="0.3">
      <c r="A367" s="44">
        <v>43750.994055324074</v>
      </c>
      <c r="B367" s="45" t="s">
        <v>52</v>
      </c>
      <c r="C367" s="45">
        <v>30</v>
      </c>
      <c r="D367" s="45">
        <f>VLOOKUP(Добавить1[[#This Row],[Товар]],$G$1:$H$14,2,0)*Добавить1[[#This Row],[количество_единиц_товара]]</f>
        <v>20400</v>
      </c>
      <c r="E367" s="45" t="s">
        <v>69</v>
      </c>
      <c r="F367" s="45" t="s">
        <v>94</v>
      </c>
    </row>
    <row r="368" spans="1:6" x14ac:dyDescent="0.3">
      <c r="A368" s="44">
        <v>43763.014928136574</v>
      </c>
      <c r="B368" s="45" t="s">
        <v>59</v>
      </c>
      <c r="C368" s="45">
        <v>35</v>
      </c>
      <c r="D368" s="45">
        <f>VLOOKUP(Добавить1[[#This Row],[Товар]],$G$1:$H$14,2,0)*Добавить1[[#This Row],[количество_единиц_товара]]</f>
        <v>70000</v>
      </c>
      <c r="E368" s="45" t="s">
        <v>70</v>
      </c>
      <c r="F368" s="45" t="s">
        <v>94</v>
      </c>
    </row>
    <row r="369" spans="1:6" x14ac:dyDescent="0.3">
      <c r="A369" s="44">
        <v>43780.059240196759</v>
      </c>
      <c r="B369" s="45" t="s">
        <v>52</v>
      </c>
      <c r="C369" s="45">
        <v>22</v>
      </c>
      <c r="D369" s="45">
        <f>VLOOKUP(Добавить1[[#This Row],[Товар]],$G$1:$H$14,2,0)*Добавить1[[#This Row],[количество_единиц_товара]]</f>
        <v>14960</v>
      </c>
      <c r="E369" s="45" t="s">
        <v>71</v>
      </c>
      <c r="F369" s="45" t="s">
        <v>94</v>
      </c>
    </row>
    <row r="370" spans="1:6" x14ac:dyDescent="0.3">
      <c r="A370" s="44">
        <v>43801.671702962965</v>
      </c>
      <c r="B370" s="45" t="s">
        <v>53</v>
      </c>
      <c r="C370" s="45">
        <v>19</v>
      </c>
      <c r="D370" s="45">
        <f>VLOOKUP(Добавить1[[#This Row],[Товар]],$G$1:$H$14,2,0)*Добавить1[[#This Row],[количество_единиц_товара]]</f>
        <v>33972</v>
      </c>
      <c r="E370" s="45" t="s">
        <v>70</v>
      </c>
      <c r="F370" s="45" t="s">
        <v>94</v>
      </c>
    </row>
    <row r="371" spans="1:6" x14ac:dyDescent="0.3">
      <c r="A371" s="44">
        <v>43804.288205740741</v>
      </c>
      <c r="B371" s="45" t="s">
        <v>58</v>
      </c>
      <c r="C371" s="45">
        <v>30</v>
      </c>
      <c r="D371" s="45">
        <f>VLOOKUP(Добавить1[[#This Row],[Товар]],$G$1:$H$14,2,0)*Добавить1[[#This Row],[количество_единиц_товара]]</f>
        <v>133650</v>
      </c>
      <c r="E371" s="45" t="s">
        <v>69</v>
      </c>
      <c r="F371" s="45" t="s">
        <v>94</v>
      </c>
    </row>
    <row r="372" spans="1:6" x14ac:dyDescent="0.3">
      <c r="A372" s="44">
        <v>43808.609502743057</v>
      </c>
      <c r="B372" s="45" t="s">
        <v>59</v>
      </c>
      <c r="C372" s="45">
        <v>31</v>
      </c>
      <c r="D372" s="45">
        <f>VLOOKUP(Добавить1[[#This Row],[Товар]],$G$1:$H$14,2,0)*Добавить1[[#This Row],[количество_единиц_товара]]</f>
        <v>62000</v>
      </c>
      <c r="E372" s="45" t="s">
        <v>71</v>
      </c>
      <c r="F372" s="45" t="s">
        <v>94</v>
      </c>
    </row>
    <row r="373" spans="1:6" x14ac:dyDescent="0.3">
      <c r="A373" s="44">
        <v>43812.489190740744</v>
      </c>
      <c r="B373" s="45" t="s">
        <v>49</v>
      </c>
      <c r="C373" s="45">
        <v>40</v>
      </c>
      <c r="D373" s="45">
        <f>VLOOKUP(Добавить1[[#This Row],[Товар]],$G$1:$H$14,2,0)*Добавить1[[#This Row],[количество_единиц_товара]]</f>
        <v>124000</v>
      </c>
      <c r="E373" s="45" t="s">
        <v>70</v>
      </c>
      <c r="F373" s="45" t="s">
        <v>94</v>
      </c>
    </row>
    <row r="374" spans="1:6" x14ac:dyDescent="0.3">
      <c r="A374" s="44">
        <v>43816.556806203705</v>
      </c>
      <c r="B374" s="45" t="s">
        <v>49</v>
      </c>
      <c r="C374" s="45">
        <v>24</v>
      </c>
      <c r="D374" s="45">
        <f>VLOOKUP(Добавить1[[#This Row],[Товар]],$G$1:$H$14,2,0)*Добавить1[[#This Row],[количество_единиц_товара]]</f>
        <v>74400</v>
      </c>
      <c r="E374" s="45" t="s">
        <v>71</v>
      </c>
      <c r="F374" s="45" t="s">
        <v>94</v>
      </c>
    </row>
    <row r="375" spans="1:6" x14ac:dyDescent="0.3">
      <c r="A375" s="44">
        <v>43826.354724016201</v>
      </c>
      <c r="B375" s="45" t="s">
        <v>49</v>
      </c>
      <c r="C375" s="45">
        <v>14</v>
      </c>
      <c r="D375" s="45">
        <f>VLOOKUP(Добавить1[[#This Row],[Товар]],$G$1:$H$14,2,0)*Добавить1[[#This Row],[количество_единиц_товара]]</f>
        <v>43400</v>
      </c>
      <c r="E375" s="45" t="s">
        <v>71</v>
      </c>
      <c r="F375" s="45" t="s">
        <v>94</v>
      </c>
    </row>
    <row r="376" spans="1:6" x14ac:dyDescent="0.3">
      <c r="A376" s="44">
        <v>43826.880375300927</v>
      </c>
      <c r="B376" s="45" t="s">
        <v>59</v>
      </c>
      <c r="C376" s="45">
        <v>30</v>
      </c>
      <c r="D376" s="45">
        <f>VLOOKUP(Добавить1[[#This Row],[Товар]],$G$1:$H$14,2,0)*Добавить1[[#This Row],[количество_единиц_товара]]</f>
        <v>60000</v>
      </c>
      <c r="E376" s="45" t="s">
        <v>69</v>
      </c>
      <c r="F376" s="45" t="s">
        <v>94</v>
      </c>
    </row>
    <row r="377" spans="1:6" x14ac:dyDescent="0.3">
      <c r="A377" s="44">
        <v>43830.135047222226</v>
      </c>
      <c r="B377" s="45" t="s">
        <v>58</v>
      </c>
      <c r="C377" s="45">
        <v>31</v>
      </c>
      <c r="D377" s="45">
        <f>VLOOKUP(Добавить1[[#This Row],[Товар]],$G$1:$H$14,2,0)*Добавить1[[#This Row],[количество_единиц_товара]]</f>
        <v>138105</v>
      </c>
      <c r="E377" s="45" t="s">
        <v>70</v>
      </c>
      <c r="F377" s="45" t="s">
        <v>94</v>
      </c>
    </row>
    <row r="378" spans="1:6" x14ac:dyDescent="0.3">
      <c r="A378" s="44">
        <v>43837.134141747687</v>
      </c>
      <c r="B378" s="45" t="s">
        <v>61</v>
      </c>
      <c r="C378" s="45">
        <v>31</v>
      </c>
      <c r="D378" s="45">
        <f>VLOOKUP(Добавить1[[#This Row],[Товар]],$G$1:$H$14,2,0)*Добавить1[[#This Row],[количество_единиц_товара]]</f>
        <v>107570</v>
      </c>
      <c r="E378" s="45" t="s">
        <v>69</v>
      </c>
      <c r="F378" s="45" t="s">
        <v>94</v>
      </c>
    </row>
    <row r="379" spans="1:6" x14ac:dyDescent="0.3">
      <c r="A379" s="44">
        <v>43839.555840486108</v>
      </c>
      <c r="B379" s="45" t="s">
        <v>52</v>
      </c>
      <c r="C379" s="45">
        <v>29</v>
      </c>
      <c r="D379" s="45">
        <f>VLOOKUP(Добавить1[[#This Row],[Товар]],$G$1:$H$14,2,0)*Добавить1[[#This Row],[количество_единиц_товара]]</f>
        <v>19720</v>
      </c>
      <c r="E379" s="45" t="s">
        <v>70</v>
      </c>
      <c r="F379" s="45" t="s">
        <v>94</v>
      </c>
    </row>
    <row r="380" spans="1:6" x14ac:dyDescent="0.3">
      <c r="A380" s="44">
        <v>43844.502089583337</v>
      </c>
      <c r="B380" s="45" t="s">
        <v>59</v>
      </c>
      <c r="C380" s="45">
        <v>23</v>
      </c>
      <c r="D380" s="45">
        <f>VLOOKUP(Добавить1[[#This Row],[Товар]],$G$1:$H$14,2,0)*Добавить1[[#This Row],[количество_единиц_товара]]</f>
        <v>46000</v>
      </c>
      <c r="E380" s="45" t="s">
        <v>69</v>
      </c>
      <c r="F380" s="45" t="s">
        <v>94</v>
      </c>
    </row>
    <row r="381" spans="1:6" x14ac:dyDescent="0.3">
      <c r="A381" s="44">
        <v>43848.757118275462</v>
      </c>
      <c r="B381" s="45" t="s">
        <v>52</v>
      </c>
      <c r="C381" s="45">
        <v>12</v>
      </c>
      <c r="D381" s="45">
        <f>VLOOKUP(Добавить1[[#This Row],[Товар]],$G$1:$H$14,2,0)*Добавить1[[#This Row],[количество_единиц_товара]]</f>
        <v>8160</v>
      </c>
      <c r="E381" s="45" t="s">
        <v>69</v>
      </c>
      <c r="F381" s="45" t="s">
        <v>94</v>
      </c>
    </row>
    <row r="382" spans="1:6" x14ac:dyDescent="0.3">
      <c r="A382" s="44">
        <v>43852.34172236111</v>
      </c>
      <c r="B382" s="45" t="s">
        <v>56</v>
      </c>
      <c r="C382" s="45">
        <v>21</v>
      </c>
      <c r="D382" s="45">
        <f>VLOOKUP(Добавить1[[#This Row],[Товар]],$G$1:$H$14,2,0)*Добавить1[[#This Row],[количество_единиц_товара]]</f>
        <v>33600</v>
      </c>
      <c r="E382" s="45" t="s">
        <v>69</v>
      </c>
      <c r="F382" s="45" t="s">
        <v>94</v>
      </c>
    </row>
    <row r="383" spans="1:6" x14ac:dyDescent="0.3">
      <c r="A383" s="44">
        <v>43857.787139768516</v>
      </c>
      <c r="B383" s="45" t="s">
        <v>57</v>
      </c>
      <c r="C383" s="45">
        <v>18</v>
      </c>
      <c r="D383" s="45">
        <f>VLOOKUP(Добавить1[[#This Row],[Товар]],$G$1:$H$14,2,0)*Добавить1[[#This Row],[количество_единиц_товара]]</f>
        <v>68328</v>
      </c>
      <c r="E383" s="45" t="s">
        <v>69</v>
      </c>
      <c r="F383" s="45" t="s">
        <v>94</v>
      </c>
    </row>
    <row r="384" spans="1:6" x14ac:dyDescent="0.3">
      <c r="A384" s="44">
        <v>43860.43648689815</v>
      </c>
      <c r="B384" s="45" t="s">
        <v>51</v>
      </c>
      <c r="C384" s="45">
        <v>21</v>
      </c>
      <c r="D384" s="45">
        <f>VLOOKUP(Добавить1[[#This Row],[Товар]],$G$1:$H$14,2,0)*Добавить1[[#This Row],[количество_единиц_товара]]</f>
        <v>53760</v>
      </c>
      <c r="E384" s="45" t="s">
        <v>70</v>
      </c>
      <c r="F384" s="45" t="s">
        <v>94</v>
      </c>
    </row>
    <row r="385" spans="1:6" x14ac:dyDescent="0.3">
      <c r="A385" s="44">
        <v>43871.349357395833</v>
      </c>
      <c r="B385" s="45" t="s">
        <v>60</v>
      </c>
      <c r="C385" s="45">
        <v>13</v>
      </c>
      <c r="D385" s="45">
        <f>VLOOKUP(Добавить1[[#This Row],[Товар]],$G$1:$H$14,2,0)*Добавить1[[#This Row],[количество_единиц_товара]]</f>
        <v>75257</v>
      </c>
      <c r="E385" s="45" t="s">
        <v>71</v>
      </c>
      <c r="F385" s="45" t="s">
        <v>94</v>
      </c>
    </row>
    <row r="386" spans="1:6" x14ac:dyDescent="0.3">
      <c r="A386" s="44">
        <v>43878.965655590277</v>
      </c>
      <c r="B386" s="45" t="s">
        <v>51</v>
      </c>
      <c r="C386" s="45">
        <v>19</v>
      </c>
      <c r="D386" s="45">
        <f>VLOOKUP(Добавить1[[#This Row],[Товар]],$G$1:$H$14,2,0)*Добавить1[[#This Row],[количество_единиц_товара]]</f>
        <v>48640</v>
      </c>
      <c r="E386" s="45" t="s">
        <v>71</v>
      </c>
      <c r="F386" s="45" t="s">
        <v>94</v>
      </c>
    </row>
    <row r="387" spans="1:6" x14ac:dyDescent="0.3">
      <c r="A387" s="44">
        <v>43890.791980972223</v>
      </c>
      <c r="B387" s="45" t="s">
        <v>54</v>
      </c>
      <c r="C387" s="45">
        <v>15</v>
      </c>
      <c r="D387" s="45">
        <f>VLOOKUP(Добавить1[[#This Row],[Товар]],$G$1:$H$14,2,0)*Добавить1[[#This Row],[количество_единиц_товара]]</f>
        <v>36750</v>
      </c>
      <c r="E387" s="45" t="s">
        <v>71</v>
      </c>
      <c r="F387" s="45" t="s">
        <v>94</v>
      </c>
    </row>
    <row r="388" spans="1:6" x14ac:dyDescent="0.3">
      <c r="A388" s="44">
        <v>43905.308993645835</v>
      </c>
      <c r="B388" s="45" t="s">
        <v>58</v>
      </c>
      <c r="C388" s="45">
        <v>14</v>
      </c>
      <c r="D388" s="45">
        <f>VLOOKUP(Добавить1[[#This Row],[Товар]],$G$1:$H$14,2,0)*Добавить1[[#This Row],[количество_единиц_товара]]</f>
        <v>62370</v>
      </c>
      <c r="E388" s="45" t="s">
        <v>70</v>
      </c>
      <c r="F388" s="45" t="s">
        <v>94</v>
      </c>
    </row>
    <row r="389" spans="1:6" x14ac:dyDescent="0.3">
      <c r="A389" s="44">
        <v>43909.201555358799</v>
      </c>
      <c r="B389" s="45" t="s">
        <v>53</v>
      </c>
      <c r="C389" s="45">
        <v>28</v>
      </c>
      <c r="D389" s="45">
        <f>VLOOKUP(Добавить1[[#This Row],[Товар]],$G$1:$H$14,2,0)*Добавить1[[#This Row],[количество_единиц_товара]]</f>
        <v>50064</v>
      </c>
      <c r="E389" s="45" t="s">
        <v>70</v>
      </c>
      <c r="F389" s="45" t="s">
        <v>94</v>
      </c>
    </row>
    <row r="390" spans="1:6" x14ac:dyDescent="0.3">
      <c r="A390" s="44">
        <v>43909.950118020832</v>
      </c>
      <c r="B390" s="45" t="s">
        <v>51</v>
      </c>
      <c r="C390" s="45">
        <v>21</v>
      </c>
      <c r="D390" s="45">
        <f>VLOOKUP(Добавить1[[#This Row],[Товар]],$G$1:$H$14,2,0)*Добавить1[[#This Row],[количество_единиц_товара]]</f>
        <v>53760</v>
      </c>
      <c r="E390" s="45" t="s">
        <v>70</v>
      </c>
      <c r="F390" s="45" t="s">
        <v>94</v>
      </c>
    </row>
    <row r="391" spans="1:6" x14ac:dyDescent="0.3">
      <c r="A391" s="44">
        <v>43910.944074490741</v>
      </c>
      <c r="B391" s="45" t="s">
        <v>60</v>
      </c>
      <c r="C391" s="45">
        <v>22</v>
      </c>
      <c r="D391" s="45">
        <f>VLOOKUP(Добавить1[[#This Row],[Товар]],$G$1:$H$14,2,0)*Добавить1[[#This Row],[количество_единиц_товара]]</f>
        <v>127358</v>
      </c>
      <c r="E391" s="45" t="s">
        <v>70</v>
      </c>
      <c r="F391" s="45" t="s">
        <v>94</v>
      </c>
    </row>
    <row r="392" spans="1:6" x14ac:dyDescent="0.3">
      <c r="A392" s="44">
        <v>43947.065467905093</v>
      </c>
      <c r="B392" s="45" t="s">
        <v>60</v>
      </c>
      <c r="C392" s="45">
        <v>22</v>
      </c>
      <c r="D392" s="45">
        <f>VLOOKUP(Добавить1[[#This Row],[Товар]],$G$1:$H$14,2,0)*Добавить1[[#This Row],[количество_единиц_товара]]</f>
        <v>127358</v>
      </c>
      <c r="E392" s="45" t="s">
        <v>70</v>
      </c>
      <c r="F392" s="45" t="s">
        <v>94</v>
      </c>
    </row>
    <row r="393" spans="1:6" x14ac:dyDescent="0.3">
      <c r="A393" s="44">
        <v>43947.654511493056</v>
      </c>
      <c r="B393" s="45" t="s">
        <v>54</v>
      </c>
      <c r="C393" s="45">
        <v>37</v>
      </c>
      <c r="D393" s="45">
        <f>VLOOKUP(Добавить1[[#This Row],[Товар]],$G$1:$H$14,2,0)*Добавить1[[#This Row],[количество_единиц_товара]]</f>
        <v>90650</v>
      </c>
      <c r="E393" s="45" t="s">
        <v>70</v>
      </c>
      <c r="F393" s="45" t="s">
        <v>94</v>
      </c>
    </row>
    <row r="394" spans="1:6" x14ac:dyDescent="0.3">
      <c r="A394" s="44">
        <v>43952.795568819442</v>
      </c>
      <c r="B394" s="45" t="s">
        <v>52</v>
      </c>
      <c r="C394" s="45">
        <v>33</v>
      </c>
      <c r="D394" s="45">
        <f>VLOOKUP(Добавить1[[#This Row],[Товар]],$G$1:$H$14,2,0)*Добавить1[[#This Row],[количество_единиц_товара]]</f>
        <v>22440</v>
      </c>
      <c r="E394" s="45" t="s">
        <v>69</v>
      </c>
      <c r="F394" s="45" t="s">
        <v>94</v>
      </c>
    </row>
    <row r="395" spans="1:6" x14ac:dyDescent="0.3">
      <c r="A395" s="44">
        <v>43958.111629675928</v>
      </c>
      <c r="B395" s="45" t="s">
        <v>51</v>
      </c>
      <c r="C395" s="45">
        <v>22</v>
      </c>
      <c r="D395" s="45">
        <f>VLOOKUP(Добавить1[[#This Row],[Товар]],$G$1:$H$14,2,0)*Добавить1[[#This Row],[количество_единиц_товара]]</f>
        <v>56320</v>
      </c>
      <c r="E395" s="45" t="s">
        <v>71</v>
      </c>
      <c r="F395" s="45" t="s">
        <v>94</v>
      </c>
    </row>
    <row r="396" spans="1:6" x14ac:dyDescent="0.3">
      <c r="A396" s="44">
        <v>43960.888260219908</v>
      </c>
      <c r="B396" s="45" t="s">
        <v>52</v>
      </c>
      <c r="C396" s="45">
        <v>21</v>
      </c>
      <c r="D396" s="45">
        <f>VLOOKUP(Добавить1[[#This Row],[Товар]],$G$1:$H$14,2,0)*Добавить1[[#This Row],[количество_единиц_товара]]</f>
        <v>14280</v>
      </c>
      <c r="E396" s="45" t="s">
        <v>70</v>
      </c>
      <c r="F396" s="45" t="s">
        <v>94</v>
      </c>
    </row>
    <row r="397" spans="1:6" x14ac:dyDescent="0.3">
      <c r="A397" s="44">
        <v>43962.472525543984</v>
      </c>
      <c r="B397" s="45" t="s">
        <v>58</v>
      </c>
      <c r="C397" s="45">
        <v>17</v>
      </c>
      <c r="D397" s="45">
        <f>VLOOKUP(Добавить1[[#This Row],[Товар]],$G$1:$H$14,2,0)*Добавить1[[#This Row],[количество_единиц_товара]]</f>
        <v>75735</v>
      </c>
      <c r="E397" s="45" t="s">
        <v>70</v>
      </c>
      <c r="F397" s="45" t="s">
        <v>94</v>
      </c>
    </row>
    <row r="398" spans="1:6" x14ac:dyDescent="0.3">
      <c r="A398" s="44">
        <v>43975.631173865739</v>
      </c>
      <c r="B398" s="45" t="s">
        <v>53</v>
      </c>
      <c r="C398" s="45">
        <v>15</v>
      </c>
      <c r="D398" s="45">
        <f>VLOOKUP(Добавить1[[#This Row],[Товар]],$G$1:$H$14,2,0)*Добавить1[[#This Row],[количество_единиц_товара]]</f>
        <v>26820</v>
      </c>
      <c r="E398" s="45" t="s">
        <v>70</v>
      </c>
      <c r="F398" s="45" t="s">
        <v>94</v>
      </c>
    </row>
    <row r="399" spans="1:6" x14ac:dyDescent="0.3">
      <c r="A399" s="44">
        <v>43978.499055960645</v>
      </c>
      <c r="B399" s="45" t="s">
        <v>51</v>
      </c>
      <c r="C399" s="45">
        <v>14</v>
      </c>
      <c r="D399" s="45">
        <f>VLOOKUP(Добавить1[[#This Row],[Товар]],$G$1:$H$14,2,0)*Добавить1[[#This Row],[количество_единиц_товара]]</f>
        <v>35840</v>
      </c>
      <c r="E399" s="45" t="s">
        <v>70</v>
      </c>
      <c r="F399" s="45" t="s">
        <v>94</v>
      </c>
    </row>
    <row r="400" spans="1:6" x14ac:dyDescent="0.3">
      <c r="A400" s="44">
        <v>43980.855439953702</v>
      </c>
      <c r="B400" s="45" t="s">
        <v>58</v>
      </c>
      <c r="C400" s="45">
        <v>20</v>
      </c>
      <c r="D400" s="45">
        <f>VLOOKUP(Добавить1[[#This Row],[Товар]],$G$1:$H$14,2,0)*Добавить1[[#This Row],[количество_единиц_товара]]</f>
        <v>89100</v>
      </c>
      <c r="E400" s="45" t="s">
        <v>69</v>
      </c>
      <c r="F400" s="45" t="s">
        <v>94</v>
      </c>
    </row>
    <row r="401" spans="1:6" x14ac:dyDescent="0.3">
      <c r="A401" s="44">
        <v>44008.696552361114</v>
      </c>
      <c r="B401" s="45" t="s">
        <v>58</v>
      </c>
      <c r="C401" s="45">
        <v>17</v>
      </c>
      <c r="D401" s="45">
        <f>VLOOKUP(Добавить1[[#This Row],[Товар]],$G$1:$H$14,2,0)*Добавить1[[#This Row],[количество_единиц_товара]]</f>
        <v>75735</v>
      </c>
      <c r="E401" s="45" t="s">
        <v>71</v>
      </c>
      <c r="F401" s="45" t="s">
        <v>94</v>
      </c>
    </row>
    <row r="402" spans="1:6" x14ac:dyDescent="0.3">
      <c r="A402" s="44">
        <v>44011.226656678242</v>
      </c>
      <c r="B402" s="45" t="s">
        <v>60</v>
      </c>
      <c r="C402" s="45">
        <v>17</v>
      </c>
      <c r="D402" s="45">
        <f>VLOOKUP(Добавить1[[#This Row],[Товар]],$G$1:$H$14,2,0)*Добавить1[[#This Row],[количество_единиц_товара]]</f>
        <v>98413</v>
      </c>
      <c r="E402" s="45" t="s">
        <v>70</v>
      </c>
      <c r="F402" s="45" t="s">
        <v>94</v>
      </c>
    </row>
    <row r="403" spans="1:6" x14ac:dyDescent="0.3">
      <c r="A403" s="44">
        <v>44020.989116157405</v>
      </c>
      <c r="B403" s="45" t="s">
        <v>61</v>
      </c>
      <c r="C403" s="45">
        <v>31</v>
      </c>
      <c r="D403" s="45">
        <f>VLOOKUP(Добавить1[[#This Row],[Товар]],$G$1:$H$14,2,0)*Добавить1[[#This Row],[количество_единиц_товара]]</f>
        <v>107570</v>
      </c>
      <c r="E403" s="45" t="s">
        <v>71</v>
      </c>
      <c r="F403" s="45" t="s">
        <v>94</v>
      </c>
    </row>
    <row r="404" spans="1:6" x14ac:dyDescent="0.3">
      <c r="A404" s="44">
        <v>44037.905377835647</v>
      </c>
      <c r="B404" s="45" t="s">
        <v>58</v>
      </c>
      <c r="C404" s="45">
        <v>27</v>
      </c>
      <c r="D404" s="45">
        <f>VLOOKUP(Добавить1[[#This Row],[Товар]],$G$1:$H$14,2,0)*Добавить1[[#This Row],[количество_единиц_товара]]</f>
        <v>120285</v>
      </c>
      <c r="E404" s="45" t="s">
        <v>69</v>
      </c>
      <c r="F404" s="45" t="s">
        <v>94</v>
      </c>
    </row>
    <row r="405" spans="1:6" x14ac:dyDescent="0.3">
      <c r="A405" s="44">
        <v>44040.66553810185</v>
      </c>
      <c r="B405" s="45" t="s">
        <v>52</v>
      </c>
      <c r="C405" s="45">
        <v>30</v>
      </c>
      <c r="D405" s="45">
        <f>VLOOKUP(Добавить1[[#This Row],[Товар]],$G$1:$H$14,2,0)*Добавить1[[#This Row],[количество_единиц_товара]]</f>
        <v>20400</v>
      </c>
      <c r="E405" s="45" t="s">
        <v>70</v>
      </c>
      <c r="F405" s="45" t="s">
        <v>94</v>
      </c>
    </row>
    <row r="406" spans="1:6" x14ac:dyDescent="0.3">
      <c r="A406" s="44">
        <v>44058.386370671295</v>
      </c>
      <c r="B406" s="45" t="s">
        <v>61</v>
      </c>
      <c r="C406" s="45">
        <v>18</v>
      </c>
      <c r="D406" s="45">
        <f>VLOOKUP(Добавить1[[#This Row],[Товар]],$G$1:$H$14,2,0)*Добавить1[[#This Row],[количество_единиц_товара]]</f>
        <v>62460</v>
      </c>
      <c r="E406" s="45" t="s">
        <v>70</v>
      </c>
      <c r="F406" s="45" t="s">
        <v>94</v>
      </c>
    </row>
    <row r="407" spans="1:6" x14ac:dyDescent="0.3">
      <c r="A407" s="44">
        <v>44063.034004363428</v>
      </c>
      <c r="B407" s="45" t="s">
        <v>58</v>
      </c>
      <c r="C407" s="45">
        <v>28</v>
      </c>
      <c r="D407" s="45">
        <f>VLOOKUP(Добавить1[[#This Row],[Товар]],$G$1:$H$14,2,0)*Добавить1[[#This Row],[количество_единиц_товара]]</f>
        <v>124740</v>
      </c>
      <c r="E407" s="45" t="s">
        <v>70</v>
      </c>
      <c r="F407" s="45" t="s">
        <v>94</v>
      </c>
    </row>
    <row r="408" spans="1:6" x14ac:dyDescent="0.3">
      <c r="A408" s="44">
        <v>44072.889679629632</v>
      </c>
      <c r="B408" s="45" t="s">
        <v>50</v>
      </c>
      <c r="C408" s="45">
        <v>39</v>
      </c>
      <c r="D408" s="45">
        <f>VLOOKUP(Добавить1[[#This Row],[Товар]],$G$1:$H$14,2,0)*Добавить1[[#This Row],[количество_единиц_товара]]</f>
        <v>85800</v>
      </c>
      <c r="E408" s="45" t="s">
        <v>69</v>
      </c>
      <c r="F408" s="45" t="s">
        <v>94</v>
      </c>
    </row>
    <row r="409" spans="1:6" x14ac:dyDescent="0.3">
      <c r="A409" s="44">
        <v>44099.072172499997</v>
      </c>
      <c r="B409" s="45" t="s">
        <v>54</v>
      </c>
      <c r="C409" s="45">
        <v>40</v>
      </c>
      <c r="D409" s="45">
        <f>VLOOKUP(Добавить1[[#This Row],[Товар]],$G$1:$H$14,2,0)*Добавить1[[#This Row],[количество_единиц_товара]]</f>
        <v>98000</v>
      </c>
      <c r="E409" s="45" t="s">
        <v>70</v>
      </c>
      <c r="F409" s="45" t="s">
        <v>94</v>
      </c>
    </row>
    <row r="410" spans="1:6" x14ac:dyDescent="0.3">
      <c r="A410" s="44">
        <v>44108.356999942131</v>
      </c>
      <c r="B410" s="45" t="s">
        <v>52</v>
      </c>
      <c r="C410" s="45">
        <v>26</v>
      </c>
      <c r="D410" s="45">
        <f>VLOOKUP(Добавить1[[#This Row],[Товар]],$G$1:$H$14,2,0)*Добавить1[[#This Row],[количество_единиц_товара]]</f>
        <v>17680</v>
      </c>
      <c r="E410" s="45" t="s">
        <v>71</v>
      </c>
      <c r="F410" s="45" t="s">
        <v>94</v>
      </c>
    </row>
    <row r="411" spans="1:6" x14ac:dyDescent="0.3">
      <c r="A411" s="44">
        <v>44109.94348332176</v>
      </c>
      <c r="B411" s="45" t="s">
        <v>50</v>
      </c>
      <c r="C411" s="45">
        <v>31</v>
      </c>
      <c r="D411" s="45">
        <f>VLOOKUP(Добавить1[[#This Row],[Товар]],$G$1:$H$14,2,0)*Добавить1[[#This Row],[количество_единиц_товара]]</f>
        <v>68200</v>
      </c>
      <c r="E411" s="45" t="s">
        <v>70</v>
      </c>
      <c r="F411" s="45" t="s">
        <v>94</v>
      </c>
    </row>
    <row r="412" spans="1:6" x14ac:dyDescent="0.3">
      <c r="A412" s="44">
        <v>44115.618114097226</v>
      </c>
      <c r="B412" s="45" t="s">
        <v>61</v>
      </c>
      <c r="C412" s="45">
        <v>12</v>
      </c>
      <c r="D412" s="45">
        <f>VLOOKUP(Добавить1[[#This Row],[Товар]],$G$1:$H$14,2,0)*Добавить1[[#This Row],[количество_единиц_товара]]</f>
        <v>41640</v>
      </c>
      <c r="E412" s="45" t="s">
        <v>69</v>
      </c>
      <c r="F412" s="45" t="s">
        <v>94</v>
      </c>
    </row>
    <row r="413" spans="1:6" x14ac:dyDescent="0.3">
      <c r="A413" s="44">
        <v>44122.574855474537</v>
      </c>
      <c r="B413" s="45" t="s">
        <v>59</v>
      </c>
      <c r="C413" s="45">
        <v>19</v>
      </c>
      <c r="D413" s="45">
        <f>VLOOKUP(Добавить1[[#This Row],[Товар]],$G$1:$H$14,2,0)*Добавить1[[#This Row],[количество_единиц_товара]]</f>
        <v>38000</v>
      </c>
      <c r="E413" s="45" t="s">
        <v>71</v>
      </c>
      <c r="F413" s="45" t="s">
        <v>94</v>
      </c>
    </row>
    <row r="414" spans="1:6" x14ac:dyDescent="0.3">
      <c r="A414" s="44">
        <v>44129.243300208334</v>
      </c>
      <c r="B414" s="45" t="s">
        <v>59</v>
      </c>
      <c r="C414" s="45">
        <v>29</v>
      </c>
      <c r="D414" s="45">
        <f>VLOOKUP(Добавить1[[#This Row],[Товар]],$G$1:$H$14,2,0)*Добавить1[[#This Row],[количество_единиц_товара]]</f>
        <v>58000</v>
      </c>
      <c r="E414" s="45" t="s">
        <v>70</v>
      </c>
      <c r="F414" s="45" t="s">
        <v>94</v>
      </c>
    </row>
    <row r="415" spans="1:6" x14ac:dyDescent="0.3">
      <c r="A415" s="44">
        <v>44156.45750355324</v>
      </c>
      <c r="B415" s="45" t="s">
        <v>52</v>
      </c>
      <c r="C415" s="45">
        <v>28</v>
      </c>
      <c r="D415" s="45">
        <f>VLOOKUP(Добавить1[[#This Row],[Товар]],$G$1:$H$14,2,0)*Добавить1[[#This Row],[количество_единиц_товара]]</f>
        <v>19040</v>
      </c>
      <c r="E415" s="45" t="s">
        <v>71</v>
      </c>
      <c r="F415" s="45" t="s">
        <v>94</v>
      </c>
    </row>
    <row r="416" spans="1:6" x14ac:dyDescent="0.3">
      <c r="A416" s="44">
        <v>44160.926838402775</v>
      </c>
      <c r="B416" s="45" t="s">
        <v>50</v>
      </c>
      <c r="C416" s="45">
        <v>35</v>
      </c>
      <c r="D416" s="45">
        <f>VLOOKUP(Добавить1[[#This Row],[Товар]],$G$1:$H$14,2,0)*Добавить1[[#This Row],[количество_единиц_товара]]</f>
        <v>77000</v>
      </c>
      <c r="E416" s="45" t="s">
        <v>71</v>
      </c>
      <c r="F416" s="45" t="s">
        <v>94</v>
      </c>
    </row>
    <row r="417" spans="1:6" x14ac:dyDescent="0.3">
      <c r="A417" s="44">
        <v>44161.649174155093</v>
      </c>
      <c r="B417" s="45" t="s">
        <v>56</v>
      </c>
      <c r="C417" s="45">
        <v>10</v>
      </c>
      <c r="D417" s="45">
        <f>VLOOKUP(Добавить1[[#This Row],[Товар]],$G$1:$H$14,2,0)*Добавить1[[#This Row],[количество_единиц_товара]]</f>
        <v>16000</v>
      </c>
      <c r="E417" s="45" t="s">
        <v>69</v>
      </c>
      <c r="F417" s="45" t="s">
        <v>94</v>
      </c>
    </row>
    <row r="418" spans="1:6" x14ac:dyDescent="0.3">
      <c r="A418" s="44">
        <v>44178.216190798608</v>
      </c>
      <c r="B418" s="45" t="s">
        <v>57</v>
      </c>
      <c r="C418" s="45">
        <v>18</v>
      </c>
      <c r="D418" s="45">
        <f>VLOOKUP(Добавить1[[#This Row],[Товар]],$G$1:$H$14,2,0)*Добавить1[[#This Row],[количество_единиц_товара]]</f>
        <v>68328</v>
      </c>
      <c r="E418" s="45" t="s">
        <v>70</v>
      </c>
      <c r="F418" s="45" t="s">
        <v>94</v>
      </c>
    </row>
    <row r="419" spans="1:6" x14ac:dyDescent="0.3">
      <c r="A419" s="44">
        <v>44184.428186631943</v>
      </c>
      <c r="B419" s="45" t="s">
        <v>50</v>
      </c>
      <c r="C419" s="45">
        <v>33</v>
      </c>
      <c r="D419" s="45">
        <f>VLOOKUP(Добавить1[[#This Row],[Товар]],$G$1:$H$14,2,0)*Добавить1[[#This Row],[количество_единиц_товара]]</f>
        <v>72600</v>
      </c>
      <c r="E419" s="45" t="s">
        <v>69</v>
      </c>
      <c r="F419" s="45" t="s">
        <v>94</v>
      </c>
    </row>
    <row r="420" spans="1:6" x14ac:dyDescent="0.3">
      <c r="A420" s="44">
        <v>44187.523848356483</v>
      </c>
      <c r="B420" s="45" t="s">
        <v>49</v>
      </c>
      <c r="C420" s="45">
        <v>22</v>
      </c>
      <c r="D420" s="45">
        <f>VLOOKUP(Добавить1[[#This Row],[Товар]],$G$1:$H$14,2,0)*Добавить1[[#This Row],[количество_единиц_товара]]</f>
        <v>68200</v>
      </c>
      <c r="E420" s="45" t="s">
        <v>70</v>
      </c>
      <c r="F420" s="45" t="s">
        <v>94</v>
      </c>
    </row>
    <row r="421" spans="1:6" x14ac:dyDescent="0.3">
      <c r="A421" s="44">
        <v>44189.0198584838</v>
      </c>
      <c r="B421" s="45" t="s">
        <v>56</v>
      </c>
      <c r="C421" s="45">
        <v>18</v>
      </c>
      <c r="D421" s="45">
        <f>VLOOKUP(Добавить1[[#This Row],[Товар]],$G$1:$H$14,2,0)*Добавить1[[#This Row],[количество_единиц_товара]]</f>
        <v>28800</v>
      </c>
      <c r="E421" s="45" t="s">
        <v>69</v>
      </c>
      <c r="F421" s="45" t="s">
        <v>94</v>
      </c>
    </row>
    <row r="422" spans="1:6" x14ac:dyDescent="0.3">
      <c r="A422" s="44">
        <v>44195.623997766204</v>
      </c>
      <c r="B422" s="45" t="s">
        <v>52</v>
      </c>
      <c r="C422" s="45">
        <v>20</v>
      </c>
      <c r="D422" s="45">
        <f>VLOOKUP(Добавить1[[#This Row],[Товар]],$G$1:$H$14,2,0)*Добавить1[[#This Row],[количество_единиц_товара]]</f>
        <v>13600</v>
      </c>
      <c r="E422" s="45" t="s">
        <v>69</v>
      </c>
      <c r="F422" s="45" t="s">
        <v>94</v>
      </c>
    </row>
    <row r="423" spans="1:6" x14ac:dyDescent="0.3">
      <c r="A423" s="44">
        <v>44203.02546513889</v>
      </c>
      <c r="B423" s="45" t="s">
        <v>52</v>
      </c>
      <c r="C423" s="45">
        <v>14</v>
      </c>
      <c r="D423" s="45">
        <f>VLOOKUP(Добавить1[[#This Row],[Товар]],$G$1:$H$14,2,0)*Добавить1[[#This Row],[количество_единиц_товара]]</f>
        <v>9520</v>
      </c>
      <c r="E423" s="45" t="s">
        <v>69</v>
      </c>
      <c r="F423" s="45" t="s">
        <v>94</v>
      </c>
    </row>
    <row r="424" spans="1:6" x14ac:dyDescent="0.3">
      <c r="A424" s="44">
        <v>44205.187514664351</v>
      </c>
      <c r="B424" s="45" t="s">
        <v>59</v>
      </c>
      <c r="C424" s="45">
        <v>13</v>
      </c>
      <c r="D424" s="45">
        <f>VLOOKUP(Добавить1[[#This Row],[Товар]],$G$1:$H$14,2,0)*Добавить1[[#This Row],[количество_единиц_товара]]</f>
        <v>26000</v>
      </c>
      <c r="E424" s="45" t="s">
        <v>69</v>
      </c>
      <c r="F424" s="45" t="s">
        <v>94</v>
      </c>
    </row>
    <row r="425" spans="1:6" x14ac:dyDescent="0.3">
      <c r="A425" s="44">
        <v>44207.861115254629</v>
      </c>
      <c r="B425" s="45" t="s">
        <v>57</v>
      </c>
      <c r="C425" s="45">
        <v>36</v>
      </c>
      <c r="D425" s="45">
        <f>VLOOKUP(Добавить1[[#This Row],[Товар]],$G$1:$H$14,2,0)*Добавить1[[#This Row],[количество_единиц_товара]]</f>
        <v>136656</v>
      </c>
      <c r="E425" s="45" t="s">
        <v>70</v>
      </c>
      <c r="F425" s="45" t="s">
        <v>94</v>
      </c>
    </row>
    <row r="426" spans="1:6" x14ac:dyDescent="0.3">
      <c r="A426" s="44">
        <v>44218.993353854166</v>
      </c>
      <c r="B426" s="45" t="s">
        <v>49</v>
      </c>
      <c r="C426" s="45">
        <v>19</v>
      </c>
      <c r="D426" s="45">
        <f>VLOOKUP(Добавить1[[#This Row],[Товар]],$G$1:$H$14,2,0)*Добавить1[[#This Row],[количество_единиц_товара]]</f>
        <v>58900</v>
      </c>
      <c r="E426" s="45" t="s">
        <v>71</v>
      </c>
      <c r="F426" s="45" t="s">
        <v>94</v>
      </c>
    </row>
    <row r="427" spans="1:6" x14ac:dyDescent="0.3">
      <c r="A427" s="44">
        <v>44242.123654618059</v>
      </c>
      <c r="B427" s="45" t="s">
        <v>50</v>
      </c>
      <c r="C427" s="45">
        <v>16</v>
      </c>
      <c r="D427" s="45">
        <f>VLOOKUP(Добавить1[[#This Row],[Товар]],$G$1:$H$14,2,0)*Добавить1[[#This Row],[количество_единиц_товара]]</f>
        <v>35200</v>
      </c>
      <c r="E427" s="45" t="s">
        <v>71</v>
      </c>
      <c r="F427" s="45" t="s">
        <v>94</v>
      </c>
    </row>
    <row r="428" spans="1:6" x14ac:dyDescent="0.3">
      <c r="A428" s="44">
        <v>44245.994954409725</v>
      </c>
      <c r="B428" s="45" t="s">
        <v>49</v>
      </c>
      <c r="C428" s="45">
        <v>32</v>
      </c>
      <c r="D428" s="45">
        <f>VLOOKUP(Добавить1[[#This Row],[Товар]],$G$1:$H$14,2,0)*Добавить1[[#This Row],[количество_единиц_товара]]</f>
        <v>99200</v>
      </c>
      <c r="E428" s="45" t="s">
        <v>71</v>
      </c>
      <c r="F428" s="45" t="s">
        <v>94</v>
      </c>
    </row>
    <row r="429" spans="1:6" x14ac:dyDescent="0.3">
      <c r="A429" s="44">
        <v>44247.632879780096</v>
      </c>
      <c r="B429" s="45" t="s">
        <v>53</v>
      </c>
      <c r="C429" s="45">
        <v>14</v>
      </c>
      <c r="D429" s="45">
        <f>VLOOKUP(Добавить1[[#This Row],[Товар]],$G$1:$H$14,2,0)*Добавить1[[#This Row],[количество_единиц_товара]]</f>
        <v>25032</v>
      </c>
      <c r="E429" s="45" t="s">
        <v>70</v>
      </c>
      <c r="F429" s="45" t="s">
        <v>94</v>
      </c>
    </row>
    <row r="430" spans="1:6" x14ac:dyDescent="0.3">
      <c r="A430" s="44">
        <v>44255.442815057868</v>
      </c>
      <c r="B430" s="45" t="s">
        <v>49</v>
      </c>
      <c r="C430" s="45">
        <v>36</v>
      </c>
      <c r="D430" s="45">
        <f>VLOOKUP(Добавить1[[#This Row],[Товар]],$G$1:$H$14,2,0)*Добавить1[[#This Row],[количество_единиц_товара]]</f>
        <v>111600</v>
      </c>
      <c r="E430" s="45" t="s">
        <v>70</v>
      </c>
      <c r="F430" s="45" t="s">
        <v>94</v>
      </c>
    </row>
    <row r="431" spans="1:6" x14ac:dyDescent="0.3">
      <c r="A431" s="44">
        <v>44274.244473842591</v>
      </c>
      <c r="B431" s="45" t="s">
        <v>56</v>
      </c>
      <c r="C431" s="45">
        <v>12</v>
      </c>
      <c r="D431" s="45">
        <f>VLOOKUP(Добавить1[[#This Row],[Товар]],$G$1:$H$14,2,0)*Добавить1[[#This Row],[количество_единиц_товара]]</f>
        <v>19200</v>
      </c>
      <c r="E431" s="45" t="s">
        <v>70</v>
      </c>
      <c r="F431" s="45" t="s">
        <v>94</v>
      </c>
    </row>
    <row r="432" spans="1:6" x14ac:dyDescent="0.3">
      <c r="A432" s="44">
        <v>44284.638173252315</v>
      </c>
      <c r="B432" s="45" t="s">
        <v>52</v>
      </c>
      <c r="C432" s="45">
        <v>16</v>
      </c>
      <c r="D432" s="45">
        <f>VLOOKUP(Добавить1[[#This Row],[Товар]],$G$1:$H$14,2,0)*Добавить1[[#This Row],[количество_единиц_товара]]</f>
        <v>10880</v>
      </c>
      <c r="E432" s="45" t="s">
        <v>70</v>
      </c>
      <c r="F432" s="45" t="s">
        <v>94</v>
      </c>
    </row>
    <row r="433" spans="1:6" x14ac:dyDescent="0.3">
      <c r="A433" s="44">
        <v>44285.198807523149</v>
      </c>
      <c r="B433" s="45" t="s">
        <v>54</v>
      </c>
      <c r="C433" s="45">
        <v>35</v>
      </c>
      <c r="D433" s="45">
        <f>VLOOKUP(Добавить1[[#This Row],[Товар]],$G$1:$H$14,2,0)*Добавить1[[#This Row],[количество_единиц_товара]]</f>
        <v>85750</v>
      </c>
      <c r="E433" s="45" t="s">
        <v>70</v>
      </c>
      <c r="F433" s="45" t="s">
        <v>94</v>
      </c>
    </row>
    <row r="434" spans="1:6" x14ac:dyDescent="0.3">
      <c r="A434" s="44">
        <v>44295.845820555558</v>
      </c>
      <c r="B434" s="45" t="s">
        <v>57</v>
      </c>
      <c r="C434" s="45">
        <v>28</v>
      </c>
      <c r="D434" s="45">
        <f>VLOOKUP(Добавить1[[#This Row],[Товар]],$G$1:$H$14,2,0)*Добавить1[[#This Row],[количество_единиц_товара]]</f>
        <v>106288</v>
      </c>
      <c r="E434" s="45" t="s">
        <v>70</v>
      </c>
      <c r="F434" s="45" t="s">
        <v>94</v>
      </c>
    </row>
    <row r="435" spans="1:6" x14ac:dyDescent="0.3">
      <c r="A435" s="44">
        <v>44303.150921597226</v>
      </c>
      <c r="B435" s="45" t="s">
        <v>56</v>
      </c>
      <c r="C435" s="45">
        <v>34</v>
      </c>
      <c r="D435" s="45">
        <f>VLOOKUP(Добавить1[[#This Row],[Товар]],$G$1:$H$14,2,0)*Добавить1[[#This Row],[количество_единиц_товара]]</f>
        <v>54400</v>
      </c>
      <c r="E435" s="45" t="s">
        <v>69</v>
      </c>
      <c r="F435" s="45" t="s">
        <v>94</v>
      </c>
    </row>
    <row r="436" spans="1:6" x14ac:dyDescent="0.3">
      <c r="A436" s="44">
        <v>44310.925443425927</v>
      </c>
      <c r="B436" s="45" t="s">
        <v>58</v>
      </c>
      <c r="C436" s="45">
        <v>15</v>
      </c>
      <c r="D436" s="45">
        <f>VLOOKUP(Добавить1[[#This Row],[Товар]],$G$1:$H$14,2,0)*Добавить1[[#This Row],[количество_единиц_товара]]</f>
        <v>66825</v>
      </c>
      <c r="E436" s="45" t="s">
        <v>71</v>
      </c>
      <c r="F436" s="45" t="s">
        <v>94</v>
      </c>
    </row>
    <row r="437" spans="1:6" x14ac:dyDescent="0.3">
      <c r="A437" s="44">
        <v>44316.27633202546</v>
      </c>
      <c r="B437" s="45" t="s">
        <v>58</v>
      </c>
      <c r="C437" s="45">
        <v>19</v>
      </c>
      <c r="D437" s="45">
        <f>VLOOKUP(Добавить1[[#This Row],[Товар]],$G$1:$H$14,2,0)*Добавить1[[#This Row],[количество_единиц_товара]]</f>
        <v>84645</v>
      </c>
      <c r="E437" s="45" t="s">
        <v>70</v>
      </c>
      <c r="F437" s="45" t="s">
        <v>94</v>
      </c>
    </row>
    <row r="438" spans="1:6" x14ac:dyDescent="0.3">
      <c r="A438" s="44">
        <v>44317.184847731478</v>
      </c>
      <c r="B438" s="45" t="s">
        <v>51</v>
      </c>
      <c r="C438" s="45">
        <v>25</v>
      </c>
      <c r="D438" s="45">
        <f>VLOOKUP(Добавить1[[#This Row],[Товар]],$G$1:$H$14,2,0)*Добавить1[[#This Row],[количество_единиц_товара]]</f>
        <v>64000</v>
      </c>
      <c r="E438" s="45" t="s">
        <v>70</v>
      </c>
      <c r="F438" s="45" t="s">
        <v>94</v>
      </c>
    </row>
    <row r="439" spans="1:6" x14ac:dyDescent="0.3">
      <c r="A439" s="44">
        <v>44329.988131030092</v>
      </c>
      <c r="B439" s="45" t="s">
        <v>56</v>
      </c>
      <c r="C439" s="45">
        <v>14</v>
      </c>
      <c r="D439" s="45">
        <f>VLOOKUP(Добавить1[[#This Row],[Товар]],$G$1:$H$14,2,0)*Добавить1[[#This Row],[количество_единиц_товара]]</f>
        <v>22400</v>
      </c>
      <c r="E439" s="45" t="s">
        <v>70</v>
      </c>
      <c r="F439" s="45" t="s">
        <v>94</v>
      </c>
    </row>
    <row r="440" spans="1:6" x14ac:dyDescent="0.3">
      <c r="A440" s="44">
        <v>44331.202741701389</v>
      </c>
      <c r="B440" s="45" t="s">
        <v>58</v>
      </c>
      <c r="C440" s="45">
        <v>26</v>
      </c>
      <c r="D440" s="45">
        <f>VLOOKUP(Добавить1[[#This Row],[Товар]],$G$1:$H$14,2,0)*Добавить1[[#This Row],[количество_единиц_товара]]</f>
        <v>115830</v>
      </c>
      <c r="E440" s="45" t="s">
        <v>70</v>
      </c>
      <c r="F440" s="45" t="s">
        <v>94</v>
      </c>
    </row>
    <row r="441" spans="1:6" x14ac:dyDescent="0.3">
      <c r="A441" s="44">
        <v>44333.725604872685</v>
      </c>
      <c r="B441" s="45" t="s">
        <v>59</v>
      </c>
      <c r="C441" s="45">
        <v>16</v>
      </c>
      <c r="D441" s="45">
        <f>VLOOKUP(Добавить1[[#This Row],[Товар]],$G$1:$H$14,2,0)*Добавить1[[#This Row],[количество_единиц_товара]]</f>
        <v>32000</v>
      </c>
      <c r="E441" s="45" t="s">
        <v>69</v>
      </c>
      <c r="F441" s="45" t="s">
        <v>94</v>
      </c>
    </row>
    <row r="442" spans="1:6" x14ac:dyDescent="0.3">
      <c r="A442" s="44">
        <v>44337.86868446759</v>
      </c>
      <c r="B442" s="45" t="s">
        <v>51</v>
      </c>
      <c r="C442" s="45">
        <v>16</v>
      </c>
      <c r="D442" s="45">
        <f>VLOOKUP(Добавить1[[#This Row],[Товар]],$G$1:$H$14,2,0)*Добавить1[[#This Row],[количество_единиц_товара]]</f>
        <v>40960</v>
      </c>
      <c r="E442" s="45" t="s">
        <v>71</v>
      </c>
      <c r="F442" s="45" t="s">
        <v>94</v>
      </c>
    </row>
    <row r="443" spans="1:6" x14ac:dyDescent="0.3">
      <c r="A443" s="44">
        <v>44342.242623043981</v>
      </c>
      <c r="B443" s="45" t="s">
        <v>50</v>
      </c>
      <c r="C443" s="45">
        <v>14</v>
      </c>
      <c r="D443" s="45">
        <f>VLOOKUP(Добавить1[[#This Row],[Товар]],$G$1:$H$14,2,0)*Добавить1[[#This Row],[количество_единиц_товара]]</f>
        <v>30800</v>
      </c>
      <c r="E443" s="45" t="s">
        <v>70</v>
      </c>
      <c r="F443" s="45" t="s">
        <v>94</v>
      </c>
    </row>
    <row r="444" spans="1:6" x14ac:dyDescent="0.3">
      <c r="A444" s="44">
        <v>44343.426675451388</v>
      </c>
      <c r="B444" s="45" t="s">
        <v>58</v>
      </c>
      <c r="C444" s="45">
        <v>32</v>
      </c>
      <c r="D444" s="45">
        <f>VLOOKUP(Добавить1[[#This Row],[Товар]],$G$1:$H$14,2,0)*Добавить1[[#This Row],[количество_единиц_товара]]</f>
        <v>142560</v>
      </c>
      <c r="E444" s="45" t="s">
        <v>71</v>
      </c>
      <c r="F444" s="45" t="s">
        <v>94</v>
      </c>
    </row>
    <row r="445" spans="1:6" x14ac:dyDescent="0.3">
      <c r="A445" s="44">
        <v>44344.302813425929</v>
      </c>
      <c r="B445" s="45" t="s">
        <v>52</v>
      </c>
      <c r="C445" s="45">
        <v>26</v>
      </c>
      <c r="D445" s="45">
        <f>VLOOKUP(Добавить1[[#This Row],[Товар]],$G$1:$H$14,2,0)*Добавить1[[#This Row],[количество_единиц_товара]]</f>
        <v>17680</v>
      </c>
      <c r="E445" s="45" t="s">
        <v>69</v>
      </c>
      <c r="F445" s="45" t="s">
        <v>94</v>
      </c>
    </row>
    <row r="446" spans="1:6" x14ac:dyDescent="0.3">
      <c r="A446" s="44">
        <v>44353.778658530093</v>
      </c>
      <c r="B446" s="45" t="s">
        <v>51</v>
      </c>
      <c r="C446" s="45">
        <v>23</v>
      </c>
      <c r="D446" s="45">
        <f>VLOOKUP(Добавить1[[#This Row],[Товар]],$G$1:$H$14,2,0)*Добавить1[[#This Row],[количество_единиц_товара]]</f>
        <v>58880</v>
      </c>
      <c r="E446" s="45" t="s">
        <v>70</v>
      </c>
      <c r="F446" s="45" t="s">
        <v>94</v>
      </c>
    </row>
    <row r="447" spans="1:6" x14ac:dyDescent="0.3">
      <c r="A447" s="44">
        <v>44355.612314027778</v>
      </c>
      <c r="B447" s="45" t="s">
        <v>55</v>
      </c>
      <c r="C447" s="45">
        <v>15</v>
      </c>
      <c r="D447" s="45">
        <f>VLOOKUP(Добавить1[[#This Row],[Товар]],$G$1:$H$14,2,0)*Добавить1[[#This Row],[количество_единиц_товара]]</f>
        <v>67500</v>
      </c>
      <c r="E447" s="45" t="s">
        <v>70</v>
      </c>
      <c r="F447" s="45" t="s">
        <v>94</v>
      </c>
    </row>
    <row r="448" spans="1:6" x14ac:dyDescent="0.3">
      <c r="A448" s="44">
        <v>44365.612072557873</v>
      </c>
      <c r="B448" s="45" t="s">
        <v>56</v>
      </c>
      <c r="C448" s="45">
        <v>13</v>
      </c>
      <c r="D448" s="45">
        <f>VLOOKUP(Добавить1[[#This Row],[Товар]],$G$1:$H$14,2,0)*Добавить1[[#This Row],[количество_единиц_товара]]</f>
        <v>20800</v>
      </c>
      <c r="E448" s="45" t="s">
        <v>70</v>
      </c>
      <c r="F448" s="45" t="s">
        <v>94</v>
      </c>
    </row>
    <row r="449" spans="1:6" x14ac:dyDescent="0.3">
      <c r="A449" s="44">
        <v>44382.215314641202</v>
      </c>
      <c r="B449" s="45" t="s">
        <v>52</v>
      </c>
      <c r="C449" s="45">
        <v>22</v>
      </c>
      <c r="D449" s="45">
        <f>VLOOKUP(Добавить1[[#This Row],[Товар]],$G$1:$H$14,2,0)*Добавить1[[#This Row],[количество_единиц_товара]]</f>
        <v>14960</v>
      </c>
      <c r="E449" s="45" t="s">
        <v>69</v>
      </c>
      <c r="F449" s="45" t="s">
        <v>94</v>
      </c>
    </row>
    <row r="450" spans="1:6" x14ac:dyDescent="0.3">
      <c r="A450" s="44">
        <v>44382.554951122685</v>
      </c>
      <c r="B450" s="45" t="s">
        <v>58</v>
      </c>
      <c r="C450" s="45">
        <v>17</v>
      </c>
      <c r="D450" s="45">
        <f>VLOOKUP(Добавить1[[#This Row],[Товар]],$G$1:$H$14,2,0)*Добавить1[[#This Row],[количество_единиц_товара]]</f>
        <v>75735</v>
      </c>
      <c r="E450" s="45" t="s">
        <v>70</v>
      </c>
      <c r="F450" s="45" t="s">
        <v>94</v>
      </c>
    </row>
    <row r="451" spans="1:6" x14ac:dyDescent="0.3">
      <c r="A451" s="44">
        <v>44397.073706747688</v>
      </c>
      <c r="B451" s="45" t="s">
        <v>58</v>
      </c>
      <c r="C451" s="45">
        <v>20</v>
      </c>
      <c r="D451" s="45">
        <f>VLOOKUP(Добавить1[[#This Row],[Товар]],$G$1:$H$14,2,0)*Добавить1[[#This Row],[количество_единиц_товара]]</f>
        <v>89100</v>
      </c>
      <c r="E451" s="45" t="s">
        <v>71</v>
      </c>
      <c r="F451" s="45" t="s">
        <v>94</v>
      </c>
    </row>
    <row r="452" spans="1:6" x14ac:dyDescent="0.3">
      <c r="A452" s="44">
        <v>44397.848769953707</v>
      </c>
      <c r="B452" s="45" t="s">
        <v>51</v>
      </c>
      <c r="C452" s="45">
        <v>30</v>
      </c>
      <c r="D452" s="45">
        <f>VLOOKUP(Добавить1[[#This Row],[Товар]],$G$1:$H$14,2,0)*Добавить1[[#This Row],[количество_единиц_товара]]</f>
        <v>76800</v>
      </c>
      <c r="E452" s="45" t="s">
        <v>70</v>
      </c>
      <c r="F452" s="45" t="s">
        <v>94</v>
      </c>
    </row>
    <row r="453" spans="1:6" x14ac:dyDescent="0.3">
      <c r="A453" s="44">
        <v>44398.800963287038</v>
      </c>
      <c r="B453" s="45" t="s">
        <v>54</v>
      </c>
      <c r="C453" s="45">
        <v>24</v>
      </c>
      <c r="D453" s="45">
        <f>VLOOKUP(Добавить1[[#This Row],[Товар]],$G$1:$H$14,2,0)*Добавить1[[#This Row],[количество_единиц_товара]]</f>
        <v>58800</v>
      </c>
      <c r="E453" s="45" t="s">
        <v>69</v>
      </c>
      <c r="F453" s="45" t="s">
        <v>94</v>
      </c>
    </row>
    <row r="454" spans="1:6" x14ac:dyDescent="0.3">
      <c r="A454" s="44">
        <v>44427.279904525465</v>
      </c>
      <c r="B454" s="45" t="s">
        <v>51</v>
      </c>
      <c r="C454" s="45">
        <v>24</v>
      </c>
      <c r="D454" s="45">
        <f>VLOOKUP(Добавить1[[#This Row],[Товар]],$G$1:$H$14,2,0)*Добавить1[[#This Row],[количество_единиц_товара]]</f>
        <v>61440</v>
      </c>
      <c r="E454" s="45" t="s">
        <v>71</v>
      </c>
      <c r="F454" s="45" t="s">
        <v>94</v>
      </c>
    </row>
    <row r="455" spans="1:6" x14ac:dyDescent="0.3">
      <c r="A455" s="44">
        <v>44428.354315196761</v>
      </c>
      <c r="B455" s="45" t="s">
        <v>54</v>
      </c>
      <c r="C455" s="45">
        <v>22</v>
      </c>
      <c r="D455" s="45">
        <f>VLOOKUP(Добавить1[[#This Row],[Товар]],$G$1:$H$14,2,0)*Добавить1[[#This Row],[количество_единиц_товара]]</f>
        <v>53900</v>
      </c>
      <c r="E455" s="45" t="s">
        <v>70</v>
      </c>
      <c r="F455" s="45" t="s">
        <v>94</v>
      </c>
    </row>
    <row r="456" spans="1:6" x14ac:dyDescent="0.3">
      <c r="A456" s="40">
        <v>42404.648697534722</v>
      </c>
      <c r="B456" t="s">
        <v>54</v>
      </c>
      <c r="C456">
        <v>14</v>
      </c>
      <c r="D456" s="14">
        <f>VLOOKUP(Добавить1[[#This Row],[Товар]],$G$1:$H$14,2,0)*Добавить1[[#This Row],[количество_единиц_товара]]</f>
        <v>34300</v>
      </c>
      <c r="E456" t="s">
        <v>70</v>
      </c>
      <c r="F456" s="14" t="s">
        <v>95</v>
      </c>
    </row>
    <row r="457" spans="1:6" x14ac:dyDescent="0.3">
      <c r="A457" s="40">
        <v>42413.080188101849</v>
      </c>
      <c r="B457" t="s">
        <v>61</v>
      </c>
      <c r="C457">
        <v>19</v>
      </c>
      <c r="D457" s="14">
        <f>VLOOKUP(Добавить1[[#This Row],[Товар]],$G$1:$H$14,2,0)*Добавить1[[#This Row],[количество_единиц_товара]]</f>
        <v>65930</v>
      </c>
      <c r="E457" t="s">
        <v>69</v>
      </c>
      <c r="F457" s="14" t="s">
        <v>95</v>
      </c>
    </row>
    <row r="458" spans="1:6" x14ac:dyDescent="0.3">
      <c r="A458" s="40">
        <v>42417.573578333337</v>
      </c>
      <c r="B458" t="s">
        <v>58</v>
      </c>
      <c r="C458">
        <v>26</v>
      </c>
      <c r="D458" s="14">
        <f>VLOOKUP(Добавить1[[#This Row],[Товар]],$G$1:$H$14,2,0)*Добавить1[[#This Row],[количество_единиц_товара]]</f>
        <v>115830</v>
      </c>
      <c r="E458" t="s">
        <v>69</v>
      </c>
      <c r="F458" s="14" t="s">
        <v>95</v>
      </c>
    </row>
    <row r="459" spans="1:6" x14ac:dyDescent="0.3">
      <c r="A459" s="40">
        <v>42418.724207025465</v>
      </c>
      <c r="B459" t="s">
        <v>52</v>
      </c>
      <c r="C459">
        <v>26</v>
      </c>
      <c r="D459" s="14">
        <f>VLOOKUP(Добавить1[[#This Row],[Товар]],$G$1:$H$14,2,0)*Добавить1[[#This Row],[количество_единиц_товара]]</f>
        <v>17680</v>
      </c>
      <c r="E459" t="s">
        <v>69</v>
      </c>
      <c r="F459" s="14" t="s">
        <v>95</v>
      </c>
    </row>
    <row r="460" spans="1:6" x14ac:dyDescent="0.3">
      <c r="A460" s="40">
        <v>42429.496737662033</v>
      </c>
      <c r="B460" t="s">
        <v>52</v>
      </c>
      <c r="C460">
        <v>25</v>
      </c>
      <c r="D460" s="14">
        <f>VLOOKUP(Добавить1[[#This Row],[Товар]],$G$1:$H$14,2,0)*Добавить1[[#This Row],[количество_единиц_товара]]</f>
        <v>17000</v>
      </c>
      <c r="E460" t="s">
        <v>69</v>
      </c>
      <c r="F460" s="14" t="s">
        <v>95</v>
      </c>
    </row>
    <row r="461" spans="1:6" x14ac:dyDescent="0.3">
      <c r="A461" s="40">
        <v>42438.528191342593</v>
      </c>
      <c r="B461" t="s">
        <v>52</v>
      </c>
      <c r="C461">
        <v>24</v>
      </c>
      <c r="D461" s="14">
        <f>VLOOKUP(Добавить1[[#This Row],[Товар]],$G$1:$H$14,2,0)*Добавить1[[#This Row],[количество_единиц_товара]]</f>
        <v>16320</v>
      </c>
      <c r="E461" t="s">
        <v>69</v>
      </c>
      <c r="F461" s="14" t="s">
        <v>95</v>
      </c>
    </row>
    <row r="462" spans="1:6" x14ac:dyDescent="0.3">
      <c r="A462" s="40">
        <v>42444.703488368054</v>
      </c>
      <c r="B462" t="s">
        <v>59</v>
      </c>
      <c r="C462">
        <v>17</v>
      </c>
      <c r="D462" s="14">
        <f>VLOOKUP(Добавить1[[#This Row],[Товар]],$G$1:$H$14,2,0)*Добавить1[[#This Row],[количество_единиц_товара]]</f>
        <v>34000</v>
      </c>
      <c r="E462" t="s">
        <v>69</v>
      </c>
      <c r="F462" s="14" t="s">
        <v>95</v>
      </c>
    </row>
    <row r="463" spans="1:6" x14ac:dyDescent="0.3">
      <c r="A463" s="40">
        <v>42449.18440697917</v>
      </c>
      <c r="B463" t="s">
        <v>52</v>
      </c>
      <c r="C463">
        <v>21</v>
      </c>
      <c r="D463" s="14">
        <f>VLOOKUP(Добавить1[[#This Row],[Товар]],$G$1:$H$14,2,0)*Добавить1[[#This Row],[количество_единиц_товара]]</f>
        <v>14280</v>
      </c>
      <c r="E463" t="s">
        <v>69</v>
      </c>
      <c r="F463" s="14" t="s">
        <v>95</v>
      </c>
    </row>
    <row r="464" spans="1:6" x14ac:dyDescent="0.3">
      <c r="A464" s="40">
        <v>42457.657371574074</v>
      </c>
      <c r="B464" t="s">
        <v>52</v>
      </c>
      <c r="C464">
        <v>29</v>
      </c>
      <c r="D464" s="14">
        <f>VLOOKUP(Добавить1[[#This Row],[Товар]],$G$1:$H$14,2,0)*Добавить1[[#This Row],[количество_единиц_товара]]</f>
        <v>19720</v>
      </c>
      <c r="E464" t="s">
        <v>69</v>
      </c>
      <c r="F464" s="14" t="s">
        <v>95</v>
      </c>
    </row>
    <row r="465" spans="1:6" x14ac:dyDescent="0.3">
      <c r="A465" s="40">
        <v>42460.788467824073</v>
      </c>
      <c r="B465" t="s">
        <v>59</v>
      </c>
      <c r="C465">
        <v>23</v>
      </c>
      <c r="D465" s="14">
        <f>VLOOKUP(Добавить1[[#This Row],[Товар]],$G$1:$H$14,2,0)*Добавить1[[#This Row],[количество_единиц_товара]]</f>
        <v>46000</v>
      </c>
      <c r="E465" t="s">
        <v>69</v>
      </c>
      <c r="F465" s="14" t="s">
        <v>95</v>
      </c>
    </row>
    <row r="466" spans="1:6" x14ac:dyDescent="0.3">
      <c r="A466" s="40">
        <v>42462.717956608794</v>
      </c>
      <c r="B466" t="s">
        <v>52</v>
      </c>
      <c r="C466">
        <v>14</v>
      </c>
      <c r="D466" s="14">
        <f>VLOOKUP(Добавить1[[#This Row],[Товар]],$G$1:$H$14,2,0)*Добавить1[[#This Row],[количество_единиц_товара]]</f>
        <v>9520</v>
      </c>
      <c r="E466" t="s">
        <v>69</v>
      </c>
      <c r="F466" s="14" t="s">
        <v>95</v>
      </c>
    </row>
    <row r="467" spans="1:6" x14ac:dyDescent="0.3">
      <c r="A467" s="40">
        <v>42472.484215648146</v>
      </c>
      <c r="B467" t="s">
        <v>56</v>
      </c>
      <c r="C467">
        <v>22</v>
      </c>
      <c r="D467" s="14">
        <f>VLOOKUP(Добавить1[[#This Row],[Товар]],$G$1:$H$14,2,0)*Добавить1[[#This Row],[количество_единиц_товара]]</f>
        <v>35200</v>
      </c>
      <c r="E467" t="s">
        <v>69</v>
      </c>
      <c r="F467" s="14" t="s">
        <v>95</v>
      </c>
    </row>
    <row r="468" spans="1:6" x14ac:dyDescent="0.3">
      <c r="A468" s="40">
        <v>42473.187192106481</v>
      </c>
      <c r="B468" t="s">
        <v>51</v>
      </c>
      <c r="C468">
        <v>26</v>
      </c>
      <c r="D468" s="14">
        <f>VLOOKUP(Добавить1[[#This Row],[Товар]],$G$1:$H$14,2,0)*Добавить1[[#This Row],[количество_единиц_товара]]</f>
        <v>66560</v>
      </c>
      <c r="E468" t="s">
        <v>69</v>
      </c>
      <c r="F468" s="14" t="s">
        <v>95</v>
      </c>
    </row>
    <row r="469" spans="1:6" x14ac:dyDescent="0.3">
      <c r="A469" s="40">
        <v>42486.335559525462</v>
      </c>
      <c r="B469" t="s">
        <v>59</v>
      </c>
      <c r="C469">
        <v>25</v>
      </c>
      <c r="D469" s="14">
        <f>VLOOKUP(Добавить1[[#This Row],[Товар]],$G$1:$H$14,2,0)*Добавить1[[#This Row],[количество_единиц_товара]]</f>
        <v>50000</v>
      </c>
      <c r="E469" t="s">
        <v>69</v>
      </c>
      <c r="F469" s="14" t="s">
        <v>95</v>
      </c>
    </row>
    <row r="470" spans="1:6" x14ac:dyDescent="0.3">
      <c r="A470" s="40">
        <v>42487.322452280096</v>
      </c>
      <c r="B470" t="s">
        <v>49</v>
      </c>
      <c r="C470">
        <v>19</v>
      </c>
      <c r="D470" s="14">
        <f>VLOOKUP(Добавить1[[#This Row],[Товар]],$G$1:$H$14,2,0)*Добавить1[[#This Row],[количество_единиц_товара]]</f>
        <v>58900</v>
      </c>
      <c r="E470" t="s">
        <v>69</v>
      </c>
      <c r="F470" s="14" t="s">
        <v>95</v>
      </c>
    </row>
    <row r="471" spans="1:6" x14ac:dyDescent="0.3">
      <c r="A471" s="40">
        <v>42504.576062141205</v>
      </c>
      <c r="B471" t="s">
        <v>59</v>
      </c>
      <c r="C471">
        <v>21</v>
      </c>
      <c r="D471" s="14">
        <f>VLOOKUP(Добавить1[[#This Row],[Товар]],$G$1:$H$14,2,0)*Добавить1[[#This Row],[количество_единиц_товара]]</f>
        <v>42000</v>
      </c>
      <c r="E471" t="s">
        <v>69</v>
      </c>
      <c r="F471" s="14" t="s">
        <v>95</v>
      </c>
    </row>
    <row r="472" spans="1:6" x14ac:dyDescent="0.3">
      <c r="A472" s="40">
        <v>42506.099814398149</v>
      </c>
      <c r="B472" t="s">
        <v>57</v>
      </c>
      <c r="C472">
        <v>27</v>
      </c>
      <c r="D472" s="14">
        <f>VLOOKUP(Добавить1[[#This Row],[Товар]],$G$1:$H$14,2,0)*Добавить1[[#This Row],[количество_единиц_товара]]</f>
        <v>102492</v>
      </c>
      <c r="E472" t="s">
        <v>70</v>
      </c>
      <c r="F472" s="14" t="s">
        <v>95</v>
      </c>
    </row>
    <row r="473" spans="1:6" x14ac:dyDescent="0.3">
      <c r="A473" s="40">
        <v>42508.577199594911</v>
      </c>
      <c r="B473" t="s">
        <v>52</v>
      </c>
      <c r="C473">
        <v>34</v>
      </c>
      <c r="D473" s="14">
        <f>VLOOKUP(Добавить1[[#This Row],[Товар]],$G$1:$H$14,2,0)*Добавить1[[#This Row],[количество_единиц_товара]]</f>
        <v>23120</v>
      </c>
      <c r="E473" t="s">
        <v>69</v>
      </c>
      <c r="F473" s="14" t="s">
        <v>95</v>
      </c>
    </row>
    <row r="474" spans="1:6" x14ac:dyDescent="0.3">
      <c r="A474" s="40">
        <v>42519.669952870368</v>
      </c>
      <c r="B474" t="s">
        <v>52</v>
      </c>
      <c r="C474">
        <v>17</v>
      </c>
      <c r="D474" s="14">
        <f>VLOOKUP(Добавить1[[#This Row],[Товар]],$G$1:$H$14,2,0)*Добавить1[[#This Row],[количество_единиц_товара]]</f>
        <v>11560</v>
      </c>
      <c r="E474" t="s">
        <v>70</v>
      </c>
      <c r="F474" s="14" t="s">
        <v>95</v>
      </c>
    </row>
    <row r="475" spans="1:6" x14ac:dyDescent="0.3">
      <c r="A475" s="40">
        <v>42520.45313144676</v>
      </c>
      <c r="B475" t="s">
        <v>52</v>
      </c>
      <c r="C475">
        <v>33</v>
      </c>
      <c r="D475" s="14">
        <f>VLOOKUP(Добавить1[[#This Row],[Товар]],$G$1:$H$14,2,0)*Добавить1[[#This Row],[количество_единиц_товара]]</f>
        <v>22440</v>
      </c>
      <c r="E475" t="s">
        <v>69</v>
      </c>
      <c r="F475" s="14" t="s">
        <v>95</v>
      </c>
    </row>
    <row r="476" spans="1:6" x14ac:dyDescent="0.3">
      <c r="A476" s="40">
        <v>42539.79836724537</v>
      </c>
      <c r="B476" t="s">
        <v>52</v>
      </c>
      <c r="C476">
        <v>17</v>
      </c>
      <c r="D476" s="14">
        <f>VLOOKUP(Добавить1[[#This Row],[Товар]],$G$1:$H$14,2,0)*Добавить1[[#This Row],[количество_единиц_товара]]</f>
        <v>11560</v>
      </c>
      <c r="E476" t="s">
        <v>70</v>
      </c>
      <c r="F476" s="14" t="s">
        <v>95</v>
      </c>
    </row>
    <row r="477" spans="1:6" x14ac:dyDescent="0.3">
      <c r="A477" s="40">
        <v>42546.354357719909</v>
      </c>
      <c r="B477" t="s">
        <v>59</v>
      </c>
      <c r="C477">
        <v>16</v>
      </c>
      <c r="D477" s="14">
        <f>VLOOKUP(Добавить1[[#This Row],[Товар]],$G$1:$H$14,2,0)*Добавить1[[#This Row],[количество_единиц_товара]]</f>
        <v>32000</v>
      </c>
      <c r="E477" t="s">
        <v>69</v>
      </c>
      <c r="F477" s="14" t="s">
        <v>95</v>
      </c>
    </row>
    <row r="478" spans="1:6" x14ac:dyDescent="0.3">
      <c r="A478" s="40">
        <v>42546.577192418983</v>
      </c>
      <c r="B478" t="s">
        <v>53</v>
      </c>
      <c r="C478">
        <v>12</v>
      </c>
      <c r="D478" s="14">
        <f>VLOOKUP(Добавить1[[#This Row],[Товар]],$G$1:$H$14,2,0)*Добавить1[[#This Row],[количество_единиц_товара]]</f>
        <v>21456</v>
      </c>
      <c r="E478" t="s">
        <v>70</v>
      </c>
      <c r="F478" s="14" t="s">
        <v>95</v>
      </c>
    </row>
    <row r="479" spans="1:6" x14ac:dyDescent="0.3">
      <c r="A479" s="40">
        <v>42549.265516979169</v>
      </c>
      <c r="B479" t="s">
        <v>61</v>
      </c>
      <c r="C479">
        <v>37</v>
      </c>
      <c r="D479" s="14">
        <f>VLOOKUP(Добавить1[[#This Row],[Товар]],$G$1:$H$14,2,0)*Добавить1[[#This Row],[количество_единиц_товара]]</f>
        <v>128390</v>
      </c>
      <c r="E479" t="s">
        <v>69</v>
      </c>
      <c r="F479" s="14" t="s">
        <v>95</v>
      </c>
    </row>
    <row r="480" spans="1:6" x14ac:dyDescent="0.3">
      <c r="A480" s="40">
        <v>42561.740375763889</v>
      </c>
      <c r="B480" t="s">
        <v>56</v>
      </c>
      <c r="C480">
        <v>12</v>
      </c>
      <c r="D480" s="14">
        <f>VLOOKUP(Добавить1[[#This Row],[Товар]],$G$1:$H$14,2,0)*Добавить1[[#This Row],[количество_единиц_товара]]</f>
        <v>19200</v>
      </c>
      <c r="E480" t="s">
        <v>70</v>
      </c>
      <c r="F480" s="14" t="s">
        <v>95</v>
      </c>
    </row>
    <row r="481" spans="1:6" x14ac:dyDescent="0.3">
      <c r="A481" s="40">
        <v>42569.795667222221</v>
      </c>
      <c r="B481" t="s">
        <v>55</v>
      </c>
      <c r="C481">
        <v>28</v>
      </c>
      <c r="D481" s="14">
        <f>VLOOKUP(Добавить1[[#This Row],[Товар]],$G$1:$H$14,2,0)*Добавить1[[#This Row],[количество_единиц_товара]]</f>
        <v>126000</v>
      </c>
      <c r="E481" t="s">
        <v>69</v>
      </c>
      <c r="F481" s="14" t="s">
        <v>95</v>
      </c>
    </row>
    <row r="482" spans="1:6" x14ac:dyDescent="0.3">
      <c r="A482" s="40">
        <v>42572.643635972221</v>
      </c>
      <c r="B482" t="s">
        <v>49</v>
      </c>
      <c r="C482">
        <v>38</v>
      </c>
      <c r="D482" s="14">
        <f>VLOOKUP(Добавить1[[#This Row],[Товар]],$G$1:$H$14,2,0)*Добавить1[[#This Row],[количество_единиц_товара]]</f>
        <v>117800</v>
      </c>
      <c r="E482" t="s">
        <v>70</v>
      </c>
      <c r="F482" s="14" t="s">
        <v>95</v>
      </c>
    </row>
    <row r="483" spans="1:6" x14ac:dyDescent="0.3">
      <c r="A483" s="40">
        <v>42576.60563111111</v>
      </c>
      <c r="B483" t="s">
        <v>51</v>
      </c>
      <c r="C483">
        <v>39</v>
      </c>
      <c r="D483" s="14">
        <f>VLOOKUP(Добавить1[[#This Row],[Товар]],$G$1:$H$14,2,0)*Добавить1[[#This Row],[количество_единиц_товара]]</f>
        <v>99840</v>
      </c>
      <c r="E483" t="s">
        <v>70</v>
      </c>
      <c r="F483" s="14" t="s">
        <v>95</v>
      </c>
    </row>
    <row r="484" spans="1:6" x14ac:dyDescent="0.3">
      <c r="A484" s="40">
        <v>42579.518154432873</v>
      </c>
      <c r="B484" t="s">
        <v>53</v>
      </c>
      <c r="C484">
        <v>14</v>
      </c>
      <c r="D484" s="14">
        <f>VLOOKUP(Добавить1[[#This Row],[Товар]],$G$1:$H$14,2,0)*Добавить1[[#This Row],[количество_единиц_товара]]</f>
        <v>25032</v>
      </c>
      <c r="E484" t="s">
        <v>69</v>
      </c>
      <c r="F484" s="14" t="s">
        <v>95</v>
      </c>
    </row>
    <row r="485" spans="1:6" x14ac:dyDescent="0.3">
      <c r="A485" s="40">
        <v>42585.257782546294</v>
      </c>
      <c r="B485" t="s">
        <v>52</v>
      </c>
      <c r="C485">
        <v>38</v>
      </c>
      <c r="D485" s="14">
        <f>VLOOKUP(Добавить1[[#This Row],[Товар]],$G$1:$H$14,2,0)*Добавить1[[#This Row],[количество_единиц_товара]]</f>
        <v>25840</v>
      </c>
      <c r="E485" t="s">
        <v>70</v>
      </c>
      <c r="F485" s="14" t="s">
        <v>95</v>
      </c>
    </row>
    <row r="486" spans="1:6" x14ac:dyDescent="0.3">
      <c r="A486" s="40">
        <v>42590.442238206022</v>
      </c>
      <c r="B486" t="s">
        <v>58</v>
      </c>
      <c r="C486">
        <v>12</v>
      </c>
      <c r="D486" s="14">
        <f>VLOOKUP(Добавить1[[#This Row],[Товар]],$G$1:$H$14,2,0)*Добавить1[[#This Row],[количество_единиц_товара]]</f>
        <v>53460</v>
      </c>
      <c r="E486" t="s">
        <v>69</v>
      </c>
      <c r="F486" s="14" t="s">
        <v>95</v>
      </c>
    </row>
    <row r="487" spans="1:6" x14ac:dyDescent="0.3">
      <c r="A487" s="40">
        <v>42602.105753495372</v>
      </c>
      <c r="B487" t="s">
        <v>49</v>
      </c>
      <c r="C487">
        <v>10</v>
      </c>
      <c r="D487" s="14">
        <f>VLOOKUP(Добавить1[[#This Row],[Товар]],$G$1:$H$14,2,0)*Добавить1[[#This Row],[количество_единиц_товара]]</f>
        <v>31000</v>
      </c>
      <c r="E487" t="s">
        <v>70</v>
      </c>
      <c r="F487" s="14" t="s">
        <v>95</v>
      </c>
    </row>
    <row r="488" spans="1:6" x14ac:dyDescent="0.3">
      <c r="A488" s="40">
        <v>42629.524290266207</v>
      </c>
      <c r="B488" t="s">
        <v>51</v>
      </c>
      <c r="C488">
        <v>28</v>
      </c>
      <c r="D488" s="14">
        <f>VLOOKUP(Добавить1[[#This Row],[Товар]],$G$1:$H$14,2,0)*Добавить1[[#This Row],[количество_единиц_товара]]</f>
        <v>71680</v>
      </c>
      <c r="E488" t="s">
        <v>70</v>
      </c>
      <c r="F488" s="14" t="s">
        <v>95</v>
      </c>
    </row>
    <row r="489" spans="1:6" x14ac:dyDescent="0.3">
      <c r="A489" s="40">
        <v>42650.183848587963</v>
      </c>
      <c r="B489" t="s">
        <v>54</v>
      </c>
      <c r="C489">
        <v>34</v>
      </c>
      <c r="D489" s="14">
        <f>VLOOKUP(Добавить1[[#This Row],[Товар]],$G$1:$H$14,2,0)*Добавить1[[#This Row],[количество_единиц_товара]]</f>
        <v>83300</v>
      </c>
      <c r="E489" t="s">
        <v>70</v>
      </c>
      <c r="F489" s="14" t="s">
        <v>95</v>
      </c>
    </row>
    <row r="490" spans="1:6" x14ac:dyDescent="0.3">
      <c r="A490" s="40">
        <v>42657.715463159722</v>
      </c>
      <c r="B490" t="s">
        <v>59</v>
      </c>
      <c r="C490">
        <v>38</v>
      </c>
      <c r="D490" s="14">
        <f>VLOOKUP(Добавить1[[#This Row],[Товар]],$G$1:$H$14,2,0)*Добавить1[[#This Row],[количество_единиц_товара]]</f>
        <v>76000</v>
      </c>
      <c r="E490" t="s">
        <v>70</v>
      </c>
      <c r="F490" s="14" t="s">
        <v>95</v>
      </c>
    </row>
    <row r="491" spans="1:6" x14ac:dyDescent="0.3">
      <c r="A491" s="40">
        <v>42659.600522546294</v>
      </c>
      <c r="B491" t="s">
        <v>54</v>
      </c>
      <c r="C491">
        <v>24</v>
      </c>
      <c r="D491" s="14">
        <f>VLOOKUP(Добавить1[[#This Row],[Товар]],$G$1:$H$14,2,0)*Добавить1[[#This Row],[количество_единиц_товара]]</f>
        <v>58800</v>
      </c>
      <c r="E491" t="s">
        <v>69</v>
      </c>
      <c r="F491" s="14" t="s">
        <v>95</v>
      </c>
    </row>
    <row r="492" spans="1:6" x14ac:dyDescent="0.3">
      <c r="A492" s="40">
        <v>42665.069041516203</v>
      </c>
      <c r="B492" t="s">
        <v>51</v>
      </c>
      <c r="C492">
        <v>15</v>
      </c>
      <c r="D492" s="14">
        <f>VLOOKUP(Добавить1[[#This Row],[Товар]],$G$1:$H$14,2,0)*Добавить1[[#This Row],[количество_единиц_товара]]</f>
        <v>38400</v>
      </c>
      <c r="E492" t="s">
        <v>69</v>
      </c>
      <c r="F492" s="14" t="s">
        <v>95</v>
      </c>
    </row>
    <row r="493" spans="1:6" x14ac:dyDescent="0.3">
      <c r="A493" s="40">
        <v>42665.785762569445</v>
      </c>
      <c r="B493" t="s">
        <v>50</v>
      </c>
      <c r="C493">
        <v>14</v>
      </c>
      <c r="D493" s="14">
        <f>VLOOKUP(Добавить1[[#This Row],[Товар]],$G$1:$H$14,2,0)*Добавить1[[#This Row],[количество_единиц_товара]]</f>
        <v>30800</v>
      </c>
      <c r="E493" t="s">
        <v>69</v>
      </c>
      <c r="F493" s="14" t="s">
        <v>95</v>
      </c>
    </row>
    <row r="494" spans="1:6" x14ac:dyDescent="0.3">
      <c r="A494" s="40">
        <v>42679.1372625</v>
      </c>
      <c r="B494" t="s">
        <v>49</v>
      </c>
      <c r="C494">
        <v>29</v>
      </c>
      <c r="D494" s="14">
        <f>VLOOKUP(Добавить1[[#This Row],[Товар]],$G$1:$H$14,2,0)*Добавить1[[#This Row],[количество_единиц_товара]]</f>
        <v>89900</v>
      </c>
      <c r="E494" t="s">
        <v>70</v>
      </c>
      <c r="F494" s="14" t="s">
        <v>95</v>
      </c>
    </row>
    <row r="495" spans="1:6" x14ac:dyDescent="0.3">
      <c r="A495" s="40">
        <v>42700.32453672454</v>
      </c>
      <c r="B495" t="s">
        <v>52</v>
      </c>
      <c r="C495">
        <v>13</v>
      </c>
      <c r="D495" s="14">
        <f>VLOOKUP(Добавить1[[#This Row],[Товар]],$G$1:$H$14,2,0)*Добавить1[[#This Row],[количество_единиц_товара]]</f>
        <v>8840</v>
      </c>
      <c r="E495" t="s">
        <v>69</v>
      </c>
      <c r="F495" s="14" t="s">
        <v>95</v>
      </c>
    </row>
    <row r="496" spans="1:6" x14ac:dyDescent="0.3">
      <c r="A496" s="40">
        <v>42704.325360833333</v>
      </c>
      <c r="B496" t="s">
        <v>49</v>
      </c>
      <c r="C496">
        <v>14</v>
      </c>
      <c r="D496" s="14">
        <f>VLOOKUP(Добавить1[[#This Row],[Товар]],$G$1:$H$14,2,0)*Добавить1[[#This Row],[количество_единиц_товара]]</f>
        <v>43400</v>
      </c>
      <c r="E496" t="s">
        <v>69</v>
      </c>
      <c r="F496" s="14" t="s">
        <v>95</v>
      </c>
    </row>
    <row r="497" spans="1:6" x14ac:dyDescent="0.3">
      <c r="A497" s="40">
        <v>42722.148854375002</v>
      </c>
      <c r="B497" t="s">
        <v>49</v>
      </c>
      <c r="C497">
        <v>22</v>
      </c>
      <c r="D497" s="14">
        <f>VLOOKUP(Добавить1[[#This Row],[Товар]],$G$1:$H$14,2,0)*Добавить1[[#This Row],[количество_единиц_товара]]</f>
        <v>68200</v>
      </c>
      <c r="E497" t="s">
        <v>69</v>
      </c>
      <c r="F497" s="14" t="s">
        <v>95</v>
      </c>
    </row>
    <row r="498" spans="1:6" x14ac:dyDescent="0.3">
      <c r="A498" s="40">
        <v>42729.719786400463</v>
      </c>
      <c r="B498" t="s">
        <v>55</v>
      </c>
      <c r="C498">
        <v>25</v>
      </c>
      <c r="D498" s="14">
        <f>VLOOKUP(Добавить1[[#This Row],[Товар]],$G$1:$H$14,2,0)*Добавить1[[#This Row],[количество_единиц_товара]]</f>
        <v>112500</v>
      </c>
      <c r="E498" t="s">
        <v>70</v>
      </c>
      <c r="F498" s="14" t="s">
        <v>95</v>
      </c>
    </row>
    <row r="499" spans="1:6" x14ac:dyDescent="0.3">
      <c r="A499" s="40">
        <v>42732.65422222222</v>
      </c>
      <c r="B499" t="s">
        <v>49</v>
      </c>
      <c r="C499">
        <v>22</v>
      </c>
      <c r="D499" s="14">
        <f>VLOOKUP(Добавить1[[#This Row],[Товар]],$G$1:$H$14,2,0)*Добавить1[[#This Row],[количество_единиц_товара]]</f>
        <v>68200</v>
      </c>
      <c r="E499" t="s">
        <v>69</v>
      </c>
      <c r="F499" s="14" t="s">
        <v>95</v>
      </c>
    </row>
    <row r="500" spans="1:6" x14ac:dyDescent="0.3">
      <c r="A500" s="40">
        <v>42759.822814791667</v>
      </c>
      <c r="B500" t="s">
        <v>49</v>
      </c>
      <c r="C500">
        <v>22</v>
      </c>
      <c r="D500" s="14">
        <f>VLOOKUP(Добавить1[[#This Row],[Товар]],$G$1:$H$14,2,0)*Добавить1[[#This Row],[количество_единиц_товара]]</f>
        <v>68200</v>
      </c>
      <c r="E500" t="s">
        <v>69</v>
      </c>
      <c r="F500" s="14" t="s">
        <v>95</v>
      </c>
    </row>
    <row r="501" spans="1:6" x14ac:dyDescent="0.3">
      <c r="A501" s="40">
        <v>42769.665291921294</v>
      </c>
      <c r="B501" t="s">
        <v>56</v>
      </c>
      <c r="C501">
        <v>30</v>
      </c>
      <c r="D501" s="14">
        <f>VLOOKUP(Добавить1[[#This Row],[Товар]],$G$1:$H$14,2,0)*Добавить1[[#This Row],[количество_единиц_товара]]</f>
        <v>48000</v>
      </c>
      <c r="E501" t="s">
        <v>69</v>
      </c>
      <c r="F501" s="14" t="s">
        <v>95</v>
      </c>
    </row>
    <row r="502" spans="1:6" x14ac:dyDescent="0.3">
      <c r="A502" s="40">
        <v>42773.062951759261</v>
      </c>
      <c r="B502" t="s">
        <v>52</v>
      </c>
      <c r="C502">
        <v>11</v>
      </c>
      <c r="D502" s="14">
        <f>VLOOKUP(Добавить1[[#This Row],[Товар]],$G$1:$H$14,2,0)*Добавить1[[#This Row],[количество_единиц_товара]]</f>
        <v>7480</v>
      </c>
      <c r="E502" t="s">
        <v>69</v>
      </c>
      <c r="F502" s="14" t="s">
        <v>95</v>
      </c>
    </row>
    <row r="503" spans="1:6" x14ac:dyDescent="0.3">
      <c r="A503" s="40">
        <v>42783.124194699078</v>
      </c>
      <c r="B503" t="s">
        <v>59</v>
      </c>
      <c r="C503">
        <v>35</v>
      </c>
      <c r="D503" s="14">
        <f>VLOOKUP(Добавить1[[#This Row],[Товар]],$G$1:$H$14,2,0)*Добавить1[[#This Row],[количество_единиц_товара]]</f>
        <v>70000</v>
      </c>
      <c r="E503" t="s">
        <v>69</v>
      </c>
      <c r="F503" s="14" t="s">
        <v>95</v>
      </c>
    </row>
    <row r="504" spans="1:6" x14ac:dyDescent="0.3">
      <c r="A504" s="40">
        <v>42785.461353541665</v>
      </c>
      <c r="B504" t="s">
        <v>51</v>
      </c>
      <c r="C504">
        <v>19</v>
      </c>
      <c r="D504" s="14">
        <f>VLOOKUP(Добавить1[[#This Row],[Товар]],$G$1:$H$14,2,0)*Добавить1[[#This Row],[количество_единиц_товара]]</f>
        <v>48640</v>
      </c>
      <c r="E504" t="s">
        <v>69</v>
      </c>
      <c r="F504" s="14" t="s">
        <v>95</v>
      </c>
    </row>
    <row r="505" spans="1:6" x14ac:dyDescent="0.3">
      <c r="A505" s="40">
        <v>42789.679097962966</v>
      </c>
      <c r="B505" t="s">
        <v>50</v>
      </c>
      <c r="C505">
        <v>39</v>
      </c>
      <c r="D505" s="14">
        <f>VLOOKUP(Добавить1[[#This Row],[Товар]],$G$1:$H$14,2,0)*Добавить1[[#This Row],[количество_единиц_товара]]</f>
        <v>85800</v>
      </c>
      <c r="E505" t="s">
        <v>70</v>
      </c>
      <c r="F505" s="14" t="s">
        <v>95</v>
      </c>
    </row>
    <row r="506" spans="1:6" x14ac:dyDescent="0.3">
      <c r="A506" s="40">
        <v>42797.465700486115</v>
      </c>
      <c r="B506" t="s">
        <v>50</v>
      </c>
      <c r="C506">
        <v>24</v>
      </c>
      <c r="D506" s="14">
        <f>VLOOKUP(Добавить1[[#This Row],[Товар]],$G$1:$H$14,2,0)*Добавить1[[#This Row],[количество_единиц_товара]]</f>
        <v>52800</v>
      </c>
      <c r="E506" t="s">
        <v>70</v>
      </c>
      <c r="F506" s="14" t="s">
        <v>95</v>
      </c>
    </row>
    <row r="507" spans="1:6" x14ac:dyDescent="0.3">
      <c r="A507" s="40">
        <v>42815.146006770832</v>
      </c>
      <c r="B507" t="s">
        <v>58</v>
      </c>
      <c r="C507">
        <v>16</v>
      </c>
      <c r="D507" s="14">
        <f>VLOOKUP(Добавить1[[#This Row],[Товар]],$G$1:$H$14,2,0)*Добавить1[[#This Row],[количество_единиц_товара]]</f>
        <v>71280</v>
      </c>
      <c r="E507" t="s">
        <v>69</v>
      </c>
      <c r="F507" s="14" t="s">
        <v>95</v>
      </c>
    </row>
    <row r="508" spans="1:6" x14ac:dyDescent="0.3">
      <c r="A508" s="40">
        <v>42815.224258854163</v>
      </c>
      <c r="B508" t="s">
        <v>53</v>
      </c>
      <c r="C508">
        <v>14</v>
      </c>
      <c r="D508" s="14">
        <f>VLOOKUP(Добавить1[[#This Row],[Товар]],$G$1:$H$14,2,0)*Добавить1[[#This Row],[количество_единиц_товара]]</f>
        <v>25032</v>
      </c>
      <c r="E508" t="s">
        <v>70</v>
      </c>
      <c r="F508" s="14" t="s">
        <v>95</v>
      </c>
    </row>
    <row r="509" spans="1:6" x14ac:dyDescent="0.3">
      <c r="A509" s="40">
        <v>42822.095396076387</v>
      </c>
      <c r="B509" t="s">
        <v>61</v>
      </c>
      <c r="C509">
        <v>26</v>
      </c>
      <c r="D509" s="14">
        <f>VLOOKUP(Добавить1[[#This Row],[Товар]],$G$1:$H$14,2,0)*Добавить1[[#This Row],[количество_единиц_товара]]</f>
        <v>90220</v>
      </c>
      <c r="E509" t="s">
        <v>70</v>
      </c>
      <c r="F509" s="14" t="s">
        <v>95</v>
      </c>
    </row>
    <row r="510" spans="1:6" x14ac:dyDescent="0.3">
      <c r="A510" s="40">
        <v>42843.035131932869</v>
      </c>
      <c r="B510" t="s">
        <v>59</v>
      </c>
      <c r="C510">
        <v>22</v>
      </c>
      <c r="D510" s="14">
        <f>VLOOKUP(Добавить1[[#This Row],[Товар]],$G$1:$H$14,2,0)*Добавить1[[#This Row],[количество_единиц_товара]]</f>
        <v>44000</v>
      </c>
      <c r="E510" t="s">
        <v>69</v>
      </c>
      <c r="F510" s="14" t="s">
        <v>95</v>
      </c>
    </row>
    <row r="511" spans="1:6" x14ac:dyDescent="0.3">
      <c r="A511" s="40">
        <v>42853.490557777775</v>
      </c>
      <c r="B511" t="s">
        <v>61</v>
      </c>
      <c r="C511">
        <v>18</v>
      </c>
      <c r="D511" s="14">
        <f>VLOOKUP(Добавить1[[#This Row],[Товар]],$G$1:$H$14,2,0)*Добавить1[[#This Row],[количество_единиц_товара]]</f>
        <v>62460</v>
      </c>
      <c r="E511" t="s">
        <v>70</v>
      </c>
      <c r="F511" s="14" t="s">
        <v>95</v>
      </c>
    </row>
    <row r="512" spans="1:6" x14ac:dyDescent="0.3">
      <c r="A512" s="40">
        <v>42874.043725289353</v>
      </c>
      <c r="B512" t="s">
        <v>52</v>
      </c>
      <c r="C512">
        <v>30</v>
      </c>
      <c r="D512" s="14">
        <f>VLOOKUP(Добавить1[[#This Row],[Товар]],$G$1:$H$14,2,0)*Добавить1[[#This Row],[количество_единиц_товара]]</f>
        <v>20400</v>
      </c>
      <c r="E512" t="s">
        <v>70</v>
      </c>
      <c r="F512" s="14" t="s">
        <v>95</v>
      </c>
    </row>
    <row r="513" spans="1:6" x14ac:dyDescent="0.3">
      <c r="A513" s="40">
        <v>42874.197378287034</v>
      </c>
      <c r="B513" t="s">
        <v>59</v>
      </c>
      <c r="C513">
        <v>27</v>
      </c>
      <c r="D513" s="14">
        <f>VLOOKUP(Добавить1[[#This Row],[Товар]],$G$1:$H$14,2,0)*Добавить1[[#This Row],[количество_единиц_товара]]</f>
        <v>54000</v>
      </c>
      <c r="E513" t="s">
        <v>69</v>
      </c>
      <c r="F513" s="14" t="s">
        <v>95</v>
      </c>
    </row>
    <row r="514" spans="1:6" x14ac:dyDescent="0.3">
      <c r="A514" s="40">
        <v>42876.165669629627</v>
      </c>
      <c r="B514" t="s">
        <v>59</v>
      </c>
      <c r="C514">
        <v>13</v>
      </c>
      <c r="D514" s="14">
        <f>VLOOKUP(Добавить1[[#This Row],[Товар]],$G$1:$H$14,2,0)*Добавить1[[#This Row],[количество_единиц_товара]]</f>
        <v>26000</v>
      </c>
      <c r="E514" t="s">
        <v>70</v>
      </c>
      <c r="F514" s="14" t="s">
        <v>95</v>
      </c>
    </row>
    <row r="515" spans="1:6" x14ac:dyDescent="0.3">
      <c r="A515" s="40">
        <v>42881.192386180555</v>
      </c>
      <c r="B515" t="s">
        <v>49</v>
      </c>
      <c r="C515">
        <v>38</v>
      </c>
      <c r="D515" s="14">
        <f>VLOOKUP(Добавить1[[#This Row],[Товар]],$G$1:$H$14,2,0)*Добавить1[[#This Row],[количество_единиц_товара]]</f>
        <v>117800</v>
      </c>
      <c r="E515" t="s">
        <v>70</v>
      </c>
      <c r="F515" s="14" t="s">
        <v>95</v>
      </c>
    </row>
    <row r="516" spans="1:6" x14ac:dyDescent="0.3">
      <c r="A516" s="40">
        <v>42888.250044953704</v>
      </c>
      <c r="B516" t="s">
        <v>53</v>
      </c>
      <c r="C516">
        <v>37</v>
      </c>
      <c r="D516" s="14">
        <f>VLOOKUP(Добавить1[[#This Row],[Товар]],$G$1:$H$14,2,0)*Добавить1[[#This Row],[количество_единиц_товара]]</f>
        <v>66156</v>
      </c>
      <c r="E516" t="s">
        <v>69</v>
      </c>
      <c r="F516" s="14" t="s">
        <v>95</v>
      </c>
    </row>
    <row r="517" spans="1:6" x14ac:dyDescent="0.3">
      <c r="A517" s="40">
        <v>42894.173551979169</v>
      </c>
      <c r="B517" t="s">
        <v>59</v>
      </c>
      <c r="C517">
        <v>33</v>
      </c>
      <c r="D517" s="14">
        <f>VLOOKUP(Добавить1[[#This Row],[Товар]],$G$1:$H$14,2,0)*Добавить1[[#This Row],[количество_единиц_товара]]</f>
        <v>66000</v>
      </c>
      <c r="E517" t="s">
        <v>69</v>
      </c>
      <c r="F517" s="14" t="s">
        <v>95</v>
      </c>
    </row>
    <row r="518" spans="1:6" x14ac:dyDescent="0.3">
      <c r="A518" s="40">
        <v>42916.869394699075</v>
      </c>
      <c r="B518" t="s">
        <v>52</v>
      </c>
      <c r="C518">
        <v>40</v>
      </c>
      <c r="D518" s="14">
        <f>VLOOKUP(Добавить1[[#This Row],[Товар]],$G$1:$H$14,2,0)*Добавить1[[#This Row],[количество_единиц_товара]]</f>
        <v>27200</v>
      </c>
      <c r="E518" t="s">
        <v>69</v>
      </c>
      <c r="F518" s="14" t="s">
        <v>95</v>
      </c>
    </row>
    <row r="519" spans="1:6" x14ac:dyDescent="0.3">
      <c r="A519" s="40">
        <v>42919.545645370374</v>
      </c>
      <c r="B519" t="s">
        <v>53</v>
      </c>
      <c r="C519">
        <v>22</v>
      </c>
      <c r="D519" s="14">
        <f>VLOOKUP(Добавить1[[#This Row],[Товар]],$G$1:$H$14,2,0)*Добавить1[[#This Row],[количество_единиц_товара]]</f>
        <v>39336</v>
      </c>
      <c r="E519" t="s">
        <v>69</v>
      </c>
      <c r="F519" s="14" t="s">
        <v>95</v>
      </c>
    </row>
    <row r="520" spans="1:6" x14ac:dyDescent="0.3">
      <c r="A520" s="40">
        <v>42921.89684739583</v>
      </c>
      <c r="B520" t="s">
        <v>56</v>
      </c>
      <c r="C520">
        <v>16</v>
      </c>
      <c r="D520" s="14">
        <f>VLOOKUP(Добавить1[[#This Row],[Товар]],$G$1:$H$14,2,0)*Добавить1[[#This Row],[количество_единиц_товара]]</f>
        <v>25600</v>
      </c>
      <c r="E520" t="s">
        <v>69</v>
      </c>
      <c r="F520" s="14" t="s">
        <v>95</v>
      </c>
    </row>
    <row r="521" spans="1:6" x14ac:dyDescent="0.3">
      <c r="A521" s="40">
        <v>42926.071265300925</v>
      </c>
      <c r="B521" t="s">
        <v>51</v>
      </c>
      <c r="C521">
        <v>21</v>
      </c>
      <c r="D521" s="14">
        <f>VLOOKUP(Добавить1[[#This Row],[Товар]],$G$1:$H$14,2,0)*Добавить1[[#This Row],[количество_единиц_товара]]</f>
        <v>53760</v>
      </c>
      <c r="E521" t="s">
        <v>69</v>
      </c>
      <c r="F521" s="14" t="s">
        <v>95</v>
      </c>
    </row>
    <row r="522" spans="1:6" x14ac:dyDescent="0.3">
      <c r="A522" s="40">
        <v>42943.221867372682</v>
      </c>
      <c r="B522" t="s">
        <v>57</v>
      </c>
      <c r="C522">
        <v>18</v>
      </c>
      <c r="D522" s="14">
        <f>VLOOKUP(Добавить1[[#This Row],[Товар]],$G$1:$H$14,2,0)*Добавить1[[#This Row],[количество_единиц_товара]]</f>
        <v>68328</v>
      </c>
      <c r="E522" t="s">
        <v>69</v>
      </c>
      <c r="F522" s="14" t="s">
        <v>95</v>
      </c>
    </row>
    <row r="523" spans="1:6" x14ac:dyDescent="0.3">
      <c r="A523" s="40">
        <v>42951.918684166667</v>
      </c>
      <c r="B523" t="s">
        <v>58</v>
      </c>
      <c r="C523">
        <v>19</v>
      </c>
      <c r="D523" s="14">
        <f>VLOOKUP(Добавить1[[#This Row],[Товар]],$G$1:$H$14,2,0)*Добавить1[[#This Row],[количество_единиц_товара]]</f>
        <v>84645</v>
      </c>
      <c r="E523" t="s">
        <v>69</v>
      </c>
      <c r="F523" s="14" t="s">
        <v>95</v>
      </c>
    </row>
    <row r="524" spans="1:6" x14ac:dyDescent="0.3">
      <c r="A524" s="40">
        <v>42959.524895243056</v>
      </c>
      <c r="B524" t="s">
        <v>54</v>
      </c>
      <c r="C524">
        <v>35</v>
      </c>
      <c r="D524" s="14">
        <f>VLOOKUP(Добавить1[[#This Row],[Товар]],$G$1:$H$14,2,0)*Добавить1[[#This Row],[количество_единиц_товара]]</f>
        <v>85750</v>
      </c>
      <c r="E524" t="s">
        <v>69</v>
      </c>
      <c r="F524" s="14" t="s">
        <v>95</v>
      </c>
    </row>
    <row r="525" spans="1:6" x14ac:dyDescent="0.3">
      <c r="A525" s="40">
        <v>42960.985605844908</v>
      </c>
      <c r="B525" t="s">
        <v>55</v>
      </c>
      <c r="C525">
        <v>29</v>
      </c>
      <c r="D525" s="14">
        <f>VLOOKUP(Добавить1[[#This Row],[Товар]],$G$1:$H$14,2,0)*Добавить1[[#This Row],[количество_единиц_товара]]</f>
        <v>130500</v>
      </c>
      <c r="E525" t="s">
        <v>70</v>
      </c>
      <c r="F525" s="14" t="s">
        <v>95</v>
      </c>
    </row>
    <row r="526" spans="1:6" x14ac:dyDescent="0.3">
      <c r="A526" s="40">
        <v>42976.461908020836</v>
      </c>
      <c r="B526" t="s">
        <v>56</v>
      </c>
      <c r="C526">
        <v>31</v>
      </c>
      <c r="D526" s="14">
        <f>VLOOKUP(Добавить1[[#This Row],[Товар]],$G$1:$H$14,2,0)*Добавить1[[#This Row],[количество_единиц_товара]]</f>
        <v>49600</v>
      </c>
      <c r="E526" t="s">
        <v>70</v>
      </c>
      <c r="F526" s="14" t="s">
        <v>95</v>
      </c>
    </row>
    <row r="527" spans="1:6" x14ac:dyDescent="0.3">
      <c r="A527" s="40">
        <v>42977.014194201387</v>
      </c>
      <c r="B527" t="s">
        <v>59</v>
      </c>
      <c r="C527">
        <v>13</v>
      </c>
      <c r="D527" s="14">
        <f>VLOOKUP(Добавить1[[#This Row],[Товар]],$G$1:$H$14,2,0)*Добавить1[[#This Row],[количество_единиц_товара]]</f>
        <v>26000</v>
      </c>
      <c r="E527" t="s">
        <v>70</v>
      </c>
      <c r="F527" s="14" t="s">
        <v>95</v>
      </c>
    </row>
    <row r="528" spans="1:6" x14ac:dyDescent="0.3">
      <c r="A528" s="40">
        <v>42980.592244201391</v>
      </c>
      <c r="B528" t="s">
        <v>51</v>
      </c>
      <c r="C528">
        <v>34</v>
      </c>
      <c r="D528" s="14">
        <f>VLOOKUP(Добавить1[[#This Row],[Товар]],$G$1:$H$14,2,0)*Добавить1[[#This Row],[количество_единиц_товара]]</f>
        <v>87040</v>
      </c>
      <c r="E528" t="s">
        <v>70</v>
      </c>
      <c r="F528" s="14" t="s">
        <v>95</v>
      </c>
    </row>
    <row r="529" spans="1:6" x14ac:dyDescent="0.3">
      <c r="A529" s="40">
        <v>42990.538094571762</v>
      </c>
      <c r="B529" t="s">
        <v>49</v>
      </c>
      <c r="C529">
        <v>21</v>
      </c>
      <c r="D529" s="14">
        <f>VLOOKUP(Добавить1[[#This Row],[Товар]],$G$1:$H$14,2,0)*Добавить1[[#This Row],[количество_единиц_товара]]</f>
        <v>65100</v>
      </c>
      <c r="E529" t="s">
        <v>70</v>
      </c>
      <c r="F529" s="14" t="s">
        <v>95</v>
      </c>
    </row>
    <row r="530" spans="1:6" x14ac:dyDescent="0.3">
      <c r="A530" s="40">
        <v>42997.644357592595</v>
      </c>
      <c r="B530" t="s">
        <v>56</v>
      </c>
      <c r="C530">
        <v>33</v>
      </c>
      <c r="D530" s="14">
        <f>VLOOKUP(Добавить1[[#This Row],[Товар]],$G$1:$H$14,2,0)*Добавить1[[#This Row],[количество_единиц_товара]]</f>
        <v>52800</v>
      </c>
      <c r="E530" t="s">
        <v>70</v>
      </c>
      <c r="F530" s="14" t="s">
        <v>95</v>
      </c>
    </row>
    <row r="531" spans="1:6" x14ac:dyDescent="0.3">
      <c r="A531" s="40">
        <v>42999.864974780096</v>
      </c>
      <c r="B531" t="s">
        <v>56</v>
      </c>
      <c r="C531">
        <v>25</v>
      </c>
      <c r="D531" s="14">
        <f>VLOOKUP(Добавить1[[#This Row],[Товар]],$G$1:$H$14,2,0)*Добавить1[[#This Row],[количество_единиц_товара]]</f>
        <v>40000</v>
      </c>
      <c r="E531" t="s">
        <v>70</v>
      </c>
      <c r="F531" s="14" t="s">
        <v>95</v>
      </c>
    </row>
    <row r="532" spans="1:6" x14ac:dyDescent="0.3">
      <c r="A532" s="40">
        <v>43006.316276516205</v>
      </c>
      <c r="B532" t="s">
        <v>60</v>
      </c>
      <c r="C532">
        <v>12</v>
      </c>
      <c r="D532" s="14">
        <f>VLOOKUP(Добавить1[[#This Row],[Товар]],$G$1:$H$14,2,0)*Добавить1[[#This Row],[количество_единиц_товара]]</f>
        <v>69468</v>
      </c>
      <c r="E532" t="s">
        <v>70</v>
      </c>
      <c r="F532" s="14" t="s">
        <v>95</v>
      </c>
    </row>
    <row r="533" spans="1:6" x14ac:dyDescent="0.3">
      <c r="A533" s="40">
        <v>43015.558190578704</v>
      </c>
      <c r="B533" t="s">
        <v>59</v>
      </c>
      <c r="C533">
        <v>21</v>
      </c>
      <c r="D533" s="14">
        <f>VLOOKUP(Добавить1[[#This Row],[Товар]],$G$1:$H$14,2,0)*Добавить1[[#This Row],[количество_единиц_товара]]</f>
        <v>42000</v>
      </c>
      <c r="E533" t="s">
        <v>70</v>
      </c>
      <c r="F533" s="14" t="s">
        <v>95</v>
      </c>
    </row>
    <row r="534" spans="1:6" x14ac:dyDescent="0.3">
      <c r="A534" s="40">
        <v>43020.866720648148</v>
      </c>
      <c r="B534" t="s">
        <v>51</v>
      </c>
      <c r="C534">
        <v>38</v>
      </c>
      <c r="D534" s="14">
        <f>VLOOKUP(Добавить1[[#This Row],[Товар]],$G$1:$H$14,2,0)*Добавить1[[#This Row],[количество_единиц_товара]]</f>
        <v>97280</v>
      </c>
      <c r="E534" t="s">
        <v>69</v>
      </c>
      <c r="F534" s="14" t="s">
        <v>95</v>
      </c>
    </row>
    <row r="535" spans="1:6" x14ac:dyDescent="0.3">
      <c r="A535" s="40">
        <v>43028.334933368053</v>
      </c>
      <c r="B535" t="s">
        <v>54</v>
      </c>
      <c r="C535">
        <v>36</v>
      </c>
      <c r="D535" s="14">
        <f>VLOOKUP(Добавить1[[#This Row],[Товар]],$G$1:$H$14,2,0)*Добавить1[[#This Row],[количество_единиц_товара]]</f>
        <v>88200</v>
      </c>
      <c r="E535" t="s">
        <v>69</v>
      </c>
      <c r="F535" s="14" t="s">
        <v>95</v>
      </c>
    </row>
    <row r="536" spans="1:6" x14ac:dyDescent="0.3">
      <c r="A536" s="40">
        <v>43068.569953240738</v>
      </c>
      <c r="B536" t="s">
        <v>52</v>
      </c>
      <c r="C536">
        <v>36</v>
      </c>
      <c r="D536" s="14">
        <f>VLOOKUP(Добавить1[[#This Row],[Товар]],$G$1:$H$14,2,0)*Добавить1[[#This Row],[количество_единиц_товара]]</f>
        <v>24480</v>
      </c>
      <c r="E536" t="s">
        <v>70</v>
      </c>
      <c r="F536" s="14" t="s">
        <v>95</v>
      </c>
    </row>
    <row r="537" spans="1:6" x14ac:dyDescent="0.3">
      <c r="A537" s="40">
        <v>43075.851382800924</v>
      </c>
      <c r="B537" t="s">
        <v>51</v>
      </c>
      <c r="C537">
        <v>35</v>
      </c>
      <c r="D537" s="14">
        <f>VLOOKUP(Добавить1[[#This Row],[Товар]],$G$1:$H$14,2,0)*Добавить1[[#This Row],[количество_единиц_товара]]</f>
        <v>89600</v>
      </c>
      <c r="E537" t="s">
        <v>70</v>
      </c>
      <c r="F537" s="14" t="s">
        <v>95</v>
      </c>
    </row>
    <row r="538" spans="1:6" x14ac:dyDescent="0.3">
      <c r="A538" s="40">
        <v>43086.312631655092</v>
      </c>
      <c r="B538" t="s">
        <v>58</v>
      </c>
      <c r="C538">
        <v>32</v>
      </c>
      <c r="D538" s="14">
        <f>VLOOKUP(Добавить1[[#This Row],[Товар]],$G$1:$H$14,2,0)*Добавить1[[#This Row],[количество_единиц_товара]]</f>
        <v>142560</v>
      </c>
      <c r="E538" t="s">
        <v>70</v>
      </c>
      <c r="F538" s="14" t="s">
        <v>95</v>
      </c>
    </row>
    <row r="539" spans="1:6" x14ac:dyDescent="0.3">
      <c r="A539" s="40">
        <v>43091.284758796297</v>
      </c>
      <c r="B539" t="s">
        <v>52</v>
      </c>
      <c r="C539">
        <v>14</v>
      </c>
      <c r="D539" s="14">
        <f>VLOOKUP(Добавить1[[#This Row],[Товар]],$G$1:$H$14,2,0)*Добавить1[[#This Row],[количество_единиц_товара]]</f>
        <v>9520</v>
      </c>
      <c r="E539" t="s">
        <v>70</v>
      </c>
      <c r="F539" s="14" t="s">
        <v>95</v>
      </c>
    </row>
    <row r="540" spans="1:6" x14ac:dyDescent="0.3">
      <c r="A540" s="40">
        <v>43107.170073645837</v>
      </c>
      <c r="B540" t="s">
        <v>53</v>
      </c>
      <c r="C540">
        <v>28</v>
      </c>
      <c r="D540" s="14">
        <f>VLOOKUP(Добавить1[[#This Row],[Товар]],$G$1:$H$14,2,0)*Добавить1[[#This Row],[количество_единиц_товара]]</f>
        <v>50064</v>
      </c>
      <c r="E540" t="s">
        <v>69</v>
      </c>
      <c r="F540" s="14" t="s">
        <v>95</v>
      </c>
    </row>
    <row r="541" spans="1:6" x14ac:dyDescent="0.3">
      <c r="A541" s="40">
        <v>43107.764571539352</v>
      </c>
      <c r="B541" t="s">
        <v>49</v>
      </c>
      <c r="C541">
        <v>33</v>
      </c>
      <c r="D541" s="14">
        <f>VLOOKUP(Добавить1[[#This Row],[Товар]],$G$1:$H$14,2,0)*Добавить1[[#This Row],[количество_единиц_товара]]</f>
        <v>102300</v>
      </c>
      <c r="E541" t="s">
        <v>70</v>
      </c>
      <c r="F541" s="14" t="s">
        <v>95</v>
      </c>
    </row>
    <row r="542" spans="1:6" x14ac:dyDescent="0.3">
      <c r="A542" s="40">
        <v>43127.834346840275</v>
      </c>
      <c r="B542" t="s">
        <v>54</v>
      </c>
      <c r="C542">
        <v>23</v>
      </c>
      <c r="D542" s="14">
        <f>VLOOKUP(Добавить1[[#This Row],[Товар]],$G$1:$H$14,2,0)*Добавить1[[#This Row],[количество_единиц_товара]]</f>
        <v>56350</v>
      </c>
      <c r="E542" t="s">
        <v>70</v>
      </c>
      <c r="F542" s="14" t="s">
        <v>95</v>
      </c>
    </row>
    <row r="543" spans="1:6" x14ac:dyDescent="0.3">
      <c r="A543" s="40">
        <v>43140.475834502315</v>
      </c>
      <c r="B543" t="s">
        <v>51</v>
      </c>
      <c r="C543">
        <v>31</v>
      </c>
      <c r="D543" s="14">
        <f>VLOOKUP(Добавить1[[#This Row],[Товар]],$G$1:$H$14,2,0)*Добавить1[[#This Row],[количество_единиц_товара]]</f>
        <v>79360</v>
      </c>
      <c r="E543" t="s">
        <v>70</v>
      </c>
      <c r="F543" s="14" t="s">
        <v>95</v>
      </c>
    </row>
    <row r="544" spans="1:6" x14ac:dyDescent="0.3">
      <c r="A544" s="40">
        <v>43141.568806921299</v>
      </c>
      <c r="B544" t="s">
        <v>53</v>
      </c>
      <c r="C544">
        <v>31</v>
      </c>
      <c r="D544" s="14">
        <f>VLOOKUP(Добавить1[[#This Row],[Товар]],$G$1:$H$14,2,0)*Добавить1[[#This Row],[количество_единиц_товара]]</f>
        <v>55428</v>
      </c>
      <c r="E544" t="s">
        <v>69</v>
      </c>
      <c r="F544" s="14" t="s">
        <v>95</v>
      </c>
    </row>
    <row r="545" spans="1:6" x14ac:dyDescent="0.3">
      <c r="A545" s="40">
        <v>43145.113994918982</v>
      </c>
      <c r="B545" t="s">
        <v>51</v>
      </c>
      <c r="C545">
        <v>27</v>
      </c>
      <c r="D545" s="14">
        <f>VLOOKUP(Добавить1[[#This Row],[Товар]],$G$1:$H$14,2,0)*Добавить1[[#This Row],[количество_единиц_товара]]</f>
        <v>69120</v>
      </c>
      <c r="E545" t="s">
        <v>70</v>
      </c>
      <c r="F545" s="14" t="s">
        <v>95</v>
      </c>
    </row>
    <row r="546" spans="1:6" x14ac:dyDescent="0.3">
      <c r="A546" s="40">
        <v>43147.727578067126</v>
      </c>
      <c r="B546" t="s">
        <v>54</v>
      </c>
      <c r="C546">
        <v>33</v>
      </c>
      <c r="D546" s="14">
        <f>VLOOKUP(Добавить1[[#This Row],[Товар]],$G$1:$H$14,2,0)*Добавить1[[#This Row],[количество_единиц_товара]]</f>
        <v>80850</v>
      </c>
      <c r="E546" t="s">
        <v>70</v>
      </c>
      <c r="F546" s="14" t="s">
        <v>95</v>
      </c>
    </row>
    <row r="547" spans="1:6" x14ac:dyDescent="0.3">
      <c r="A547" s="40">
        <v>43164.137730740738</v>
      </c>
      <c r="B547" t="s">
        <v>60</v>
      </c>
      <c r="C547">
        <v>24</v>
      </c>
      <c r="D547" s="14">
        <f>VLOOKUP(Добавить1[[#This Row],[Товар]],$G$1:$H$14,2,0)*Добавить1[[#This Row],[количество_единиц_товара]]</f>
        <v>138936</v>
      </c>
      <c r="E547" t="s">
        <v>70</v>
      </c>
      <c r="F547" s="14" t="s">
        <v>95</v>
      </c>
    </row>
    <row r="548" spans="1:6" x14ac:dyDescent="0.3">
      <c r="A548" s="40">
        <v>43167.610868391203</v>
      </c>
      <c r="B548" t="s">
        <v>52</v>
      </c>
      <c r="C548">
        <v>16</v>
      </c>
      <c r="D548" s="14">
        <f>VLOOKUP(Добавить1[[#This Row],[Товар]],$G$1:$H$14,2,0)*Добавить1[[#This Row],[количество_единиц_товара]]</f>
        <v>10880</v>
      </c>
      <c r="E548" t="s">
        <v>69</v>
      </c>
      <c r="F548" s="14" t="s">
        <v>95</v>
      </c>
    </row>
    <row r="549" spans="1:6" x14ac:dyDescent="0.3">
      <c r="A549" s="40">
        <v>43178.93406122685</v>
      </c>
      <c r="B549" t="s">
        <v>57</v>
      </c>
      <c r="C549">
        <v>30</v>
      </c>
      <c r="D549" s="14">
        <f>VLOOKUP(Добавить1[[#This Row],[Товар]],$G$1:$H$14,2,0)*Добавить1[[#This Row],[количество_единиц_товара]]</f>
        <v>113880</v>
      </c>
      <c r="E549" t="s">
        <v>70</v>
      </c>
      <c r="F549" s="14" t="s">
        <v>95</v>
      </c>
    </row>
    <row r="550" spans="1:6" x14ac:dyDescent="0.3">
      <c r="A550" s="40">
        <v>43219.024043611113</v>
      </c>
      <c r="B550" t="s">
        <v>54</v>
      </c>
      <c r="C550">
        <v>27</v>
      </c>
      <c r="D550" s="14">
        <f>VLOOKUP(Добавить1[[#This Row],[Товар]],$G$1:$H$14,2,0)*Добавить1[[#This Row],[количество_единиц_товара]]</f>
        <v>66150</v>
      </c>
      <c r="E550" t="s">
        <v>70</v>
      </c>
      <c r="F550" s="14" t="s">
        <v>95</v>
      </c>
    </row>
    <row r="551" spans="1:6" x14ac:dyDescent="0.3">
      <c r="A551" s="40">
        <v>43240.870327847224</v>
      </c>
      <c r="B551" t="s">
        <v>50</v>
      </c>
      <c r="C551">
        <v>22</v>
      </c>
      <c r="D551" s="14">
        <f>VLOOKUP(Добавить1[[#This Row],[Товар]],$G$1:$H$14,2,0)*Добавить1[[#This Row],[количество_единиц_товара]]</f>
        <v>48400</v>
      </c>
      <c r="E551" t="s">
        <v>70</v>
      </c>
      <c r="F551" s="14" t="s">
        <v>95</v>
      </c>
    </row>
    <row r="552" spans="1:6" x14ac:dyDescent="0.3">
      <c r="A552" s="40">
        <v>43245.298208217595</v>
      </c>
      <c r="B552" t="s">
        <v>60</v>
      </c>
      <c r="C552">
        <v>29</v>
      </c>
      <c r="D552" s="14">
        <f>VLOOKUP(Добавить1[[#This Row],[Товар]],$G$1:$H$14,2,0)*Добавить1[[#This Row],[количество_единиц_товара]]</f>
        <v>167881</v>
      </c>
      <c r="E552" t="s">
        <v>69</v>
      </c>
      <c r="F552" s="14" t="s">
        <v>95</v>
      </c>
    </row>
    <row r="553" spans="1:6" x14ac:dyDescent="0.3">
      <c r="A553" s="40">
        <v>43248.273411574075</v>
      </c>
      <c r="B553" t="s">
        <v>50</v>
      </c>
      <c r="C553">
        <v>30</v>
      </c>
      <c r="D553" s="14">
        <f>VLOOKUP(Добавить1[[#This Row],[Товар]],$G$1:$H$14,2,0)*Добавить1[[#This Row],[количество_единиц_товара]]</f>
        <v>66000</v>
      </c>
      <c r="E553" t="s">
        <v>70</v>
      </c>
      <c r="F553" s="14" t="s">
        <v>95</v>
      </c>
    </row>
    <row r="554" spans="1:6" x14ac:dyDescent="0.3">
      <c r="A554" s="40">
        <v>43258.463559166667</v>
      </c>
      <c r="B554" t="s">
        <v>56</v>
      </c>
      <c r="C554">
        <v>19</v>
      </c>
      <c r="D554" s="14">
        <f>VLOOKUP(Добавить1[[#This Row],[Товар]],$G$1:$H$14,2,0)*Добавить1[[#This Row],[количество_единиц_товара]]</f>
        <v>30400</v>
      </c>
      <c r="E554" t="s">
        <v>70</v>
      </c>
      <c r="F554" s="14" t="s">
        <v>95</v>
      </c>
    </row>
    <row r="555" spans="1:6" x14ac:dyDescent="0.3">
      <c r="A555" s="40">
        <v>43267.426127847219</v>
      </c>
      <c r="B555" t="s">
        <v>58</v>
      </c>
      <c r="C555">
        <v>40</v>
      </c>
      <c r="D555" s="14">
        <f>VLOOKUP(Добавить1[[#This Row],[Товар]],$G$1:$H$14,2,0)*Добавить1[[#This Row],[количество_единиц_товара]]</f>
        <v>178200</v>
      </c>
      <c r="E555" t="s">
        <v>70</v>
      </c>
      <c r="F555" s="14" t="s">
        <v>95</v>
      </c>
    </row>
    <row r="556" spans="1:6" x14ac:dyDescent="0.3">
      <c r="A556" s="40">
        <v>43276.441012013885</v>
      </c>
      <c r="B556" t="s">
        <v>54</v>
      </c>
      <c r="C556">
        <v>30</v>
      </c>
      <c r="D556" s="14">
        <f>VLOOKUP(Добавить1[[#This Row],[Товар]],$G$1:$H$14,2,0)*Добавить1[[#This Row],[количество_единиц_товара]]</f>
        <v>73500</v>
      </c>
      <c r="E556" t="s">
        <v>69</v>
      </c>
      <c r="F556" s="14" t="s">
        <v>95</v>
      </c>
    </row>
    <row r="557" spans="1:6" x14ac:dyDescent="0.3">
      <c r="A557" s="40">
        <v>43282.155960254633</v>
      </c>
      <c r="B557" t="s">
        <v>52</v>
      </c>
      <c r="C557">
        <v>32</v>
      </c>
      <c r="D557" s="14">
        <f>VLOOKUP(Добавить1[[#This Row],[Товар]],$G$1:$H$14,2,0)*Добавить1[[#This Row],[количество_единиц_товара]]</f>
        <v>21760</v>
      </c>
      <c r="E557" t="s">
        <v>69</v>
      </c>
      <c r="F557" s="14" t="s">
        <v>95</v>
      </c>
    </row>
    <row r="558" spans="1:6" x14ac:dyDescent="0.3">
      <c r="A558" s="40">
        <v>43294.149015902774</v>
      </c>
      <c r="B558" t="s">
        <v>56</v>
      </c>
      <c r="C558">
        <v>25</v>
      </c>
      <c r="D558" s="14">
        <f>VLOOKUP(Добавить1[[#This Row],[Товар]],$G$1:$H$14,2,0)*Добавить1[[#This Row],[количество_единиц_товара]]</f>
        <v>40000</v>
      </c>
      <c r="E558" t="s">
        <v>69</v>
      </c>
      <c r="F558" s="14" t="s">
        <v>95</v>
      </c>
    </row>
    <row r="559" spans="1:6" x14ac:dyDescent="0.3">
      <c r="A559" s="40">
        <v>43307.77388296296</v>
      </c>
      <c r="B559" t="s">
        <v>59</v>
      </c>
      <c r="C559">
        <v>20</v>
      </c>
      <c r="D559" s="14">
        <f>VLOOKUP(Добавить1[[#This Row],[Товар]],$G$1:$H$14,2,0)*Добавить1[[#This Row],[количество_единиц_товара]]</f>
        <v>40000</v>
      </c>
      <c r="E559" t="s">
        <v>70</v>
      </c>
      <c r="F559" s="14" t="s">
        <v>95</v>
      </c>
    </row>
    <row r="560" spans="1:6" x14ac:dyDescent="0.3">
      <c r="A560" s="40">
        <v>43318.279478240744</v>
      </c>
      <c r="B560" t="s">
        <v>51</v>
      </c>
      <c r="C560">
        <v>29</v>
      </c>
      <c r="D560" s="14">
        <f>VLOOKUP(Добавить1[[#This Row],[Товар]],$G$1:$H$14,2,0)*Добавить1[[#This Row],[количество_единиц_товара]]</f>
        <v>74240</v>
      </c>
      <c r="E560" t="s">
        <v>69</v>
      </c>
      <c r="F560" s="14" t="s">
        <v>95</v>
      </c>
    </row>
    <row r="561" spans="1:6" x14ac:dyDescent="0.3">
      <c r="A561" s="40">
        <v>43320.736723090275</v>
      </c>
      <c r="B561" t="s">
        <v>49</v>
      </c>
      <c r="C561">
        <v>14</v>
      </c>
      <c r="D561" s="14">
        <f>VLOOKUP(Добавить1[[#This Row],[Товар]],$G$1:$H$14,2,0)*Добавить1[[#This Row],[количество_единиц_товара]]</f>
        <v>43400</v>
      </c>
      <c r="E561" t="s">
        <v>69</v>
      </c>
      <c r="F561" s="14" t="s">
        <v>95</v>
      </c>
    </row>
    <row r="562" spans="1:6" x14ac:dyDescent="0.3">
      <c r="A562" s="40">
        <v>43327.955849305552</v>
      </c>
      <c r="B562" t="s">
        <v>52</v>
      </c>
      <c r="C562">
        <v>38</v>
      </c>
      <c r="D562" s="14">
        <f>VLOOKUP(Добавить1[[#This Row],[Товар]],$G$1:$H$14,2,0)*Добавить1[[#This Row],[количество_единиц_товара]]</f>
        <v>25840</v>
      </c>
      <c r="E562" t="s">
        <v>69</v>
      </c>
      <c r="F562" s="14" t="s">
        <v>95</v>
      </c>
    </row>
    <row r="563" spans="1:6" x14ac:dyDescent="0.3">
      <c r="A563" s="40">
        <v>43335.140865451387</v>
      </c>
      <c r="B563" t="s">
        <v>58</v>
      </c>
      <c r="C563">
        <v>36</v>
      </c>
      <c r="D563" s="14">
        <f>VLOOKUP(Добавить1[[#This Row],[Товар]],$G$1:$H$14,2,0)*Добавить1[[#This Row],[количество_единиц_товара]]</f>
        <v>160380</v>
      </c>
      <c r="E563" t="s">
        <v>70</v>
      </c>
      <c r="F563" s="14" t="s">
        <v>95</v>
      </c>
    </row>
    <row r="564" spans="1:6" x14ac:dyDescent="0.3">
      <c r="A564" s="40">
        <v>43349.827729143515</v>
      </c>
      <c r="B564" t="s">
        <v>55</v>
      </c>
      <c r="C564">
        <v>21</v>
      </c>
      <c r="D564" s="14">
        <f>VLOOKUP(Добавить1[[#This Row],[Товар]],$G$1:$H$14,2,0)*Добавить1[[#This Row],[количество_единиц_товара]]</f>
        <v>94500</v>
      </c>
      <c r="E564" t="s">
        <v>69</v>
      </c>
      <c r="F564" s="14" t="s">
        <v>95</v>
      </c>
    </row>
    <row r="565" spans="1:6" x14ac:dyDescent="0.3">
      <c r="A565" s="40">
        <v>43350.417525821758</v>
      </c>
      <c r="B565" t="s">
        <v>52</v>
      </c>
      <c r="C565">
        <v>14</v>
      </c>
      <c r="D565" s="14">
        <f>VLOOKUP(Добавить1[[#This Row],[Товар]],$G$1:$H$14,2,0)*Добавить1[[#This Row],[количество_единиц_товара]]</f>
        <v>9520</v>
      </c>
      <c r="E565" t="s">
        <v>69</v>
      </c>
      <c r="F565" s="14" t="s">
        <v>95</v>
      </c>
    </row>
    <row r="566" spans="1:6" x14ac:dyDescent="0.3">
      <c r="A566" s="40">
        <v>43371.874298692128</v>
      </c>
      <c r="B566" t="s">
        <v>52</v>
      </c>
      <c r="C566">
        <v>20</v>
      </c>
      <c r="D566" s="14">
        <f>VLOOKUP(Добавить1[[#This Row],[Товар]],$G$1:$H$14,2,0)*Добавить1[[#This Row],[количество_единиц_товара]]</f>
        <v>13600</v>
      </c>
      <c r="E566" t="s">
        <v>69</v>
      </c>
      <c r="F566" s="14" t="s">
        <v>95</v>
      </c>
    </row>
    <row r="567" spans="1:6" x14ac:dyDescent="0.3">
      <c r="A567" s="40">
        <v>43380.130964756943</v>
      </c>
      <c r="B567" t="s">
        <v>59</v>
      </c>
      <c r="C567">
        <v>19</v>
      </c>
      <c r="D567" s="14">
        <f>VLOOKUP(Добавить1[[#This Row],[Товар]],$G$1:$H$14,2,0)*Добавить1[[#This Row],[количество_единиц_товара]]</f>
        <v>38000</v>
      </c>
      <c r="E567" t="s">
        <v>70</v>
      </c>
      <c r="F567" s="14" t="s">
        <v>95</v>
      </c>
    </row>
    <row r="568" spans="1:6" x14ac:dyDescent="0.3">
      <c r="A568" s="40">
        <v>43389.841948715279</v>
      </c>
      <c r="B568" t="s">
        <v>59</v>
      </c>
      <c r="C568">
        <v>13</v>
      </c>
      <c r="D568" s="14">
        <f>VLOOKUP(Добавить1[[#This Row],[Товар]],$G$1:$H$14,2,0)*Добавить1[[#This Row],[количество_единиц_товара]]</f>
        <v>26000</v>
      </c>
      <c r="E568" t="s">
        <v>69</v>
      </c>
      <c r="F568" s="14" t="s">
        <v>95</v>
      </c>
    </row>
    <row r="569" spans="1:6" x14ac:dyDescent="0.3">
      <c r="A569" s="40">
        <v>43393.296443414351</v>
      </c>
      <c r="B569" t="s">
        <v>58</v>
      </c>
      <c r="C569">
        <v>30</v>
      </c>
      <c r="D569" s="14">
        <f>VLOOKUP(Добавить1[[#This Row],[Товар]],$G$1:$H$14,2,0)*Добавить1[[#This Row],[количество_единиц_товара]]</f>
        <v>133650</v>
      </c>
      <c r="E569" t="s">
        <v>69</v>
      </c>
      <c r="F569" s="14" t="s">
        <v>95</v>
      </c>
    </row>
    <row r="570" spans="1:6" x14ac:dyDescent="0.3">
      <c r="A570" s="40">
        <v>43405.465949479163</v>
      </c>
      <c r="B570" t="s">
        <v>58</v>
      </c>
      <c r="C570">
        <v>34</v>
      </c>
      <c r="D570" s="14">
        <f>VLOOKUP(Добавить1[[#This Row],[Товар]],$G$1:$H$14,2,0)*Добавить1[[#This Row],[количество_единиц_товара]]</f>
        <v>151470</v>
      </c>
      <c r="E570" t="s">
        <v>69</v>
      </c>
      <c r="F570" s="14" t="s">
        <v>95</v>
      </c>
    </row>
    <row r="571" spans="1:6" x14ac:dyDescent="0.3">
      <c r="A571" s="40">
        <v>43426.324207199075</v>
      </c>
      <c r="B571" t="s">
        <v>59</v>
      </c>
      <c r="C571">
        <v>24</v>
      </c>
      <c r="D571" s="14">
        <f>VLOOKUP(Добавить1[[#This Row],[Товар]],$G$1:$H$14,2,0)*Добавить1[[#This Row],[количество_единиц_товара]]</f>
        <v>48000</v>
      </c>
      <c r="E571" t="s">
        <v>70</v>
      </c>
      <c r="F571" s="14" t="s">
        <v>95</v>
      </c>
    </row>
    <row r="572" spans="1:6" x14ac:dyDescent="0.3">
      <c r="A572" s="40">
        <v>43438.859966747688</v>
      </c>
      <c r="B572" t="s">
        <v>58</v>
      </c>
      <c r="C572">
        <v>36</v>
      </c>
      <c r="D572" s="14">
        <f>VLOOKUP(Добавить1[[#This Row],[Товар]],$G$1:$H$14,2,0)*Добавить1[[#This Row],[количество_единиц_товара]]</f>
        <v>160380</v>
      </c>
      <c r="E572" t="s">
        <v>69</v>
      </c>
      <c r="F572" s="14" t="s">
        <v>95</v>
      </c>
    </row>
    <row r="573" spans="1:6" x14ac:dyDescent="0.3">
      <c r="A573" s="40">
        <v>43447.112841793984</v>
      </c>
      <c r="B573" t="s">
        <v>52</v>
      </c>
      <c r="C573">
        <v>14</v>
      </c>
      <c r="D573" s="14">
        <f>VLOOKUP(Добавить1[[#This Row],[Товар]],$G$1:$H$14,2,0)*Добавить1[[#This Row],[количество_единиц_товара]]</f>
        <v>9520</v>
      </c>
      <c r="E573" t="s">
        <v>69</v>
      </c>
      <c r="F573" s="14" t="s">
        <v>95</v>
      </c>
    </row>
    <row r="574" spans="1:6" x14ac:dyDescent="0.3">
      <c r="A574" s="40">
        <v>43461.237265046293</v>
      </c>
      <c r="B574" t="s">
        <v>58</v>
      </c>
      <c r="C574">
        <v>17</v>
      </c>
      <c r="D574" s="14">
        <f>VLOOKUP(Добавить1[[#This Row],[Товар]],$G$1:$H$14,2,0)*Добавить1[[#This Row],[количество_единиц_товара]]</f>
        <v>75735</v>
      </c>
      <c r="E574" t="s">
        <v>69</v>
      </c>
      <c r="F574" s="14" t="s">
        <v>95</v>
      </c>
    </row>
    <row r="575" spans="1:6" x14ac:dyDescent="0.3">
      <c r="A575" s="40">
        <v>43476.834612037041</v>
      </c>
      <c r="B575" t="s">
        <v>61</v>
      </c>
      <c r="C575">
        <v>11</v>
      </c>
      <c r="D575" s="14">
        <f>VLOOKUP(Добавить1[[#This Row],[Товар]],$G$1:$H$14,2,0)*Добавить1[[#This Row],[количество_единиц_товара]]</f>
        <v>38170</v>
      </c>
      <c r="E575" t="s">
        <v>70</v>
      </c>
      <c r="F575" s="14" t="s">
        <v>95</v>
      </c>
    </row>
    <row r="576" spans="1:6" x14ac:dyDescent="0.3">
      <c r="A576" s="40">
        <v>43499.78356019676</v>
      </c>
      <c r="B576" t="s">
        <v>53</v>
      </c>
      <c r="C576">
        <v>21</v>
      </c>
      <c r="D576" s="14">
        <f>VLOOKUP(Добавить1[[#This Row],[Товар]],$G$1:$H$14,2,0)*Добавить1[[#This Row],[количество_единиц_товара]]</f>
        <v>37548</v>
      </c>
      <c r="E576" t="s">
        <v>69</v>
      </c>
      <c r="F576" s="14" t="s">
        <v>95</v>
      </c>
    </row>
    <row r="577" spans="1:6" x14ac:dyDescent="0.3">
      <c r="A577" s="40">
        <v>43503.828540636576</v>
      </c>
      <c r="B577" t="s">
        <v>52</v>
      </c>
      <c r="C577">
        <v>29</v>
      </c>
      <c r="D577" s="14">
        <f>VLOOKUP(Добавить1[[#This Row],[Товар]],$G$1:$H$14,2,0)*Добавить1[[#This Row],[количество_единиц_товара]]</f>
        <v>19720</v>
      </c>
      <c r="E577" t="s">
        <v>69</v>
      </c>
      <c r="F577" s="14" t="s">
        <v>95</v>
      </c>
    </row>
    <row r="578" spans="1:6" x14ac:dyDescent="0.3">
      <c r="A578" s="40">
        <v>43508.822997592593</v>
      </c>
      <c r="B578" t="s">
        <v>49</v>
      </c>
      <c r="C578">
        <v>13</v>
      </c>
      <c r="D578" s="14">
        <f>VLOOKUP(Добавить1[[#This Row],[Товар]],$G$1:$H$14,2,0)*Добавить1[[#This Row],[количество_единиц_товара]]</f>
        <v>40300</v>
      </c>
      <c r="E578" t="s">
        <v>69</v>
      </c>
      <c r="F578" s="14" t="s">
        <v>95</v>
      </c>
    </row>
    <row r="579" spans="1:6" x14ac:dyDescent="0.3">
      <c r="A579" s="40">
        <v>43518.110904803238</v>
      </c>
      <c r="B579" t="s">
        <v>52</v>
      </c>
      <c r="C579">
        <v>18</v>
      </c>
      <c r="D579" s="14">
        <f>VLOOKUP(Добавить1[[#This Row],[Товар]],$G$1:$H$14,2,0)*Добавить1[[#This Row],[количество_единиц_товара]]</f>
        <v>12240</v>
      </c>
      <c r="E579" t="s">
        <v>70</v>
      </c>
      <c r="F579" s="14" t="s">
        <v>95</v>
      </c>
    </row>
    <row r="580" spans="1:6" x14ac:dyDescent="0.3">
      <c r="A580" s="40">
        <v>43523.39688615741</v>
      </c>
      <c r="B580" t="s">
        <v>51</v>
      </c>
      <c r="C580">
        <v>14</v>
      </c>
      <c r="D580" s="14">
        <f>VLOOKUP(Добавить1[[#This Row],[Товар]],$G$1:$H$14,2,0)*Добавить1[[#This Row],[количество_единиц_товара]]</f>
        <v>35840</v>
      </c>
      <c r="E580" t="s">
        <v>70</v>
      </c>
      <c r="F580" s="14" t="s">
        <v>95</v>
      </c>
    </row>
    <row r="581" spans="1:6" x14ac:dyDescent="0.3">
      <c r="A581" s="40">
        <v>43533.224853206018</v>
      </c>
      <c r="B581" t="s">
        <v>58</v>
      </c>
      <c r="C581">
        <v>27</v>
      </c>
      <c r="D581" s="14">
        <f>VLOOKUP(Добавить1[[#This Row],[Товар]],$G$1:$H$14,2,0)*Добавить1[[#This Row],[количество_единиц_товара]]</f>
        <v>120285</v>
      </c>
      <c r="E581" t="s">
        <v>70</v>
      </c>
      <c r="F581" s="14" t="s">
        <v>95</v>
      </c>
    </row>
    <row r="582" spans="1:6" x14ac:dyDescent="0.3">
      <c r="A582" s="40">
        <v>43542.232310798609</v>
      </c>
      <c r="B582" t="s">
        <v>54</v>
      </c>
      <c r="C582">
        <v>13</v>
      </c>
      <c r="D582" s="14">
        <f>VLOOKUP(Добавить1[[#This Row],[Товар]],$G$1:$H$14,2,0)*Добавить1[[#This Row],[количество_единиц_товара]]</f>
        <v>31850</v>
      </c>
      <c r="E582" t="s">
        <v>70</v>
      </c>
      <c r="F582" s="14" t="s">
        <v>95</v>
      </c>
    </row>
    <row r="583" spans="1:6" x14ac:dyDescent="0.3">
      <c r="A583" s="40">
        <v>43556.967490254632</v>
      </c>
      <c r="B583" t="s">
        <v>52</v>
      </c>
      <c r="C583">
        <v>31</v>
      </c>
      <c r="D583" s="14">
        <f>VLOOKUP(Добавить1[[#This Row],[Товар]],$G$1:$H$14,2,0)*Добавить1[[#This Row],[количество_единиц_товара]]</f>
        <v>21080</v>
      </c>
      <c r="E583" t="s">
        <v>70</v>
      </c>
      <c r="F583" s="14" t="s">
        <v>95</v>
      </c>
    </row>
    <row r="584" spans="1:6" x14ac:dyDescent="0.3">
      <c r="A584" s="40">
        <v>43570.998715729169</v>
      </c>
      <c r="B584" t="s">
        <v>60</v>
      </c>
      <c r="C584">
        <v>35</v>
      </c>
      <c r="D584" s="14">
        <f>VLOOKUP(Добавить1[[#This Row],[Товар]],$G$1:$H$14,2,0)*Добавить1[[#This Row],[количество_единиц_товара]]</f>
        <v>202615</v>
      </c>
      <c r="E584" t="s">
        <v>70</v>
      </c>
      <c r="F584" s="14" t="s">
        <v>95</v>
      </c>
    </row>
    <row r="585" spans="1:6" x14ac:dyDescent="0.3">
      <c r="A585" s="40">
        <v>43573.57328621528</v>
      </c>
      <c r="B585" t="s">
        <v>51</v>
      </c>
      <c r="C585">
        <v>13</v>
      </c>
      <c r="D585" s="14">
        <f>VLOOKUP(Добавить1[[#This Row],[Товар]],$G$1:$H$14,2,0)*Добавить1[[#This Row],[количество_единиц_товара]]</f>
        <v>33280</v>
      </c>
      <c r="E585" t="s">
        <v>70</v>
      </c>
      <c r="F585" s="14" t="s">
        <v>95</v>
      </c>
    </row>
    <row r="586" spans="1:6" x14ac:dyDescent="0.3">
      <c r="A586" s="40">
        <v>43580.862466180559</v>
      </c>
      <c r="B586" t="s">
        <v>58</v>
      </c>
      <c r="C586">
        <v>21</v>
      </c>
      <c r="D586" s="14">
        <f>VLOOKUP(Добавить1[[#This Row],[Товар]],$G$1:$H$14,2,0)*Добавить1[[#This Row],[количество_единиц_товара]]</f>
        <v>93555</v>
      </c>
      <c r="E586" t="s">
        <v>70</v>
      </c>
      <c r="F586" s="14" t="s">
        <v>95</v>
      </c>
    </row>
    <row r="587" spans="1:6" x14ac:dyDescent="0.3">
      <c r="A587" s="40">
        <v>43606.424048611108</v>
      </c>
      <c r="B587" t="s">
        <v>60</v>
      </c>
      <c r="C587">
        <v>14</v>
      </c>
      <c r="D587" s="14">
        <f>VLOOKUP(Добавить1[[#This Row],[Товар]],$G$1:$H$14,2,0)*Добавить1[[#This Row],[количество_единиц_товара]]</f>
        <v>81046</v>
      </c>
      <c r="E587" t="s">
        <v>70</v>
      </c>
      <c r="F587" s="14" t="s">
        <v>95</v>
      </c>
    </row>
    <row r="588" spans="1:6" x14ac:dyDescent="0.3">
      <c r="A588" s="40">
        <v>43610.810685462966</v>
      </c>
      <c r="B588" t="s">
        <v>54</v>
      </c>
      <c r="C588">
        <v>26</v>
      </c>
      <c r="D588" s="14">
        <f>VLOOKUP(Добавить1[[#This Row],[Товар]],$G$1:$H$14,2,0)*Добавить1[[#This Row],[количество_единиц_товара]]</f>
        <v>63700</v>
      </c>
      <c r="E588" t="s">
        <v>70</v>
      </c>
      <c r="F588" s="14" t="s">
        <v>95</v>
      </c>
    </row>
    <row r="589" spans="1:6" x14ac:dyDescent="0.3">
      <c r="A589" s="40">
        <v>43637.587395000002</v>
      </c>
      <c r="B589" t="s">
        <v>60</v>
      </c>
      <c r="C589">
        <v>24</v>
      </c>
      <c r="D589" s="14">
        <f>VLOOKUP(Добавить1[[#This Row],[Товар]],$G$1:$H$14,2,0)*Добавить1[[#This Row],[количество_единиц_товара]]</f>
        <v>138936</v>
      </c>
      <c r="E589" t="s">
        <v>70</v>
      </c>
      <c r="F589" s="14" t="s">
        <v>95</v>
      </c>
    </row>
    <row r="590" spans="1:6" x14ac:dyDescent="0.3">
      <c r="A590" s="40">
        <v>43639.209179363424</v>
      </c>
      <c r="B590" t="s">
        <v>61</v>
      </c>
      <c r="C590">
        <v>38</v>
      </c>
      <c r="D590" s="14">
        <f>VLOOKUP(Добавить1[[#This Row],[Товар]],$G$1:$H$14,2,0)*Добавить1[[#This Row],[количество_единиц_товара]]</f>
        <v>131860</v>
      </c>
      <c r="E590" t="s">
        <v>69</v>
      </c>
      <c r="F590" s="14" t="s">
        <v>95</v>
      </c>
    </row>
    <row r="591" spans="1:6" x14ac:dyDescent="0.3">
      <c r="A591" s="40">
        <v>43665.02277815972</v>
      </c>
      <c r="B591" t="s">
        <v>58</v>
      </c>
      <c r="C591">
        <v>35</v>
      </c>
      <c r="D591" s="14">
        <f>VLOOKUP(Добавить1[[#This Row],[Товар]],$G$1:$H$14,2,0)*Добавить1[[#This Row],[количество_единиц_товара]]</f>
        <v>155925</v>
      </c>
      <c r="E591" t="s">
        <v>69</v>
      </c>
      <c r="F591" s="14" t="s">
        <v>95</v>
      </c>
    </row>
    <row r="592" spans="1:6" x14ac:dyDescent="0.3">
      <c r="A592" s="40">
        <v>43668.614642083332</v>
      </c>
      <c r="B592" t="s">
        <v>58</v>
      </c>
      <c r="C592">
        <v>40</v>
      </c>
      <c r="D592" s="14">
        <f>VLOOKUP(Добавить1[[#This Row],[Товар]],$G$1:$H$14,2,0)*Добавить1[[#This Row],[количество_единиц_товара]]</f>
        <v>178200</v>
      </c>
      <c r="E592" t="s">
        <v>69</v>
      </c>
      <c r="F592" s="14" t="s">
        <v>95</v>
      </c>
    </row>
    <row r="593" spans="1:6" x14ac:dyDescent="0.3">
      <c r="A593" s="40">
        <v>43670.403956886577</v>
      </c>
      <c r="B593" t="s">
        <v>59</v>
      </c>
      <c r="C593">
        <v>24</v>
      </c>
      <c r="D593" s="14">
        <f>VLOOKUP(Добавить1[[#This Row],[Товар]],$G$1:$H$14,2,0)*Добавить1[[#This Row],[количество_единиц_товара]]</f>
        <v>48000</v>
      </c>
      <c r="E593" t="s">
        <v>69</v>
      </c>
      <c r="F593" s="14" t="s">
        <v>95</v>
      </c>
    </row>
    <row r="594" spans="1:6" x14ac:dyDescent="0.3">
      <c r="A594" s="40">
        <v>43673.633060775464</v>
      </c>
      <c r="B594" t="s">
        <v>54</v>
      </c>
      <c r="C594">
        <v>11</v>
      </c>
      <c r="D594" s="14">
        <f>VLOOKUP(Добавить1[[#This Row],[Товар]],$G$1:$H$14,2,0)*Добавить1[[#This Row],[количество_единиц_товара]]</f>
        <v>26950</v>
      </c>
      <c r="E594" t="s">
        <v>69</v>
      </c>
      <c r="F594" s="14" t="s">
        <v>95</v>
      </c>
    </row>
    <row r="595" spans="1:6" x14ac:dyDescent="0.3">
      <c r="A595" s="40">
        <v>43677.906862824071</v>
      </c>
      <c r="B595" t="s">
        <v>60</v>
      </c>
      <c r="C595">
        <v>18</v>
      </c>
      <c r="D595" s="14">
        <f>VLOOKUP(Добавить1[[#This Row],[Товар]],$G$1:$H$14,2,0)*Добавить1[[#This Row],[количество_единиц_товара]]</f>
        <v>104202</v>
      </c>
      <c r="E595" t="s">
        <v>69</v>
      </c>
      <c r="F595" s="14" t="s">
        <v>95</v>
      </c>
    </row>
    <row r="596" spans="1:6" x14ac:dyDescent="0.3">
      <c r="A596" s="40">
        <v>43681.318200694448</v>
      </c>
      <c r="B596" t="s">
        <v>59</v>
      </c>
      <c r="C596">
        <v>37</v>
      </c>
      <c r="D596" s="14">
        <f>VLOOKUP(Добавить1[[#This Row],[Товар]],$G$1:$H$14,2,0)*Добавить1[[#This Row],[количество_единиц_товара]]</f>
        <v>74000</v>
      </c>
      <c r="E596" t="s">
        <v>69</v>
      </c>
      <c r="F596" s="14" t="s">
        <v>95</v>
      </c>
    </row>
    <row r="597" spans="1:6" x14ac:dyDescent="0.3">
      <c r="A597" s="40">
        <v>43682.396940856481</v>
      </c>
      <c r="B597" t="s">
        <v>55</v>
      </c>
      <c r="C597">
        <v>23</v>
      </c>
      <c r="D597" s="14">
        <f>VLOOKUP(Добавить1[[#This Row],[Товар]],$G$1:$H$14,2,0)*Добавить1[[#This Row],[количество_единиц_товара]]</f>
        <v>103500</v>
      </c>
      <c r="E597" t="s">
        <v>69</v>
      </c>
      <c r="F597" s="14" t="s">
        <v>95</v>
      </c>
    </row>
    <row r="598" spans="1:6" x14ac:dyDescent="0.3">
      <c r="A598" s="40">
        <v>43688.97069696759</v>
      </c>
      <c r="B598" t="s">
        <v>59</v>
      </c>
      <c r="C598">
        <v>34</v>
      </c>
      <c r="D598" s="14">
        <f>VLOOKUP(Добавить1[[#This Row],[Товар]],$G$1:$H$14,2,0)*Добавить1[[#This Row],[количество_единиц_товара]]</f>
        <v>68000</v>
      </c>
      <c r="E598" t="s">
        <v>69</v>
      </c>
      <c r="F598" s="14" t="s">
        <v>95</v>
      </c>
    </row>
    <row r="599" spans="1:6" x14ac:dyDescent="0.3">
      <c r="A599" s="40">
        <v>43698.383948518516</v>
      </c>
      <c r="B599" t="s">
        <v>56</v>
      </c>
      <c r="C599">
        <v>32</v>
      </c>
      <c r="D599" s="14">
        <f>VLOOKUP(Добавить1[[#This Row],[Товар]],$G$1:$H$14,2,0)*Добавить1[[#This Row],[количество_единиц_товара]]</f>
        <v>51200</v>
      </c>
      <c r="E599" t="s">
        <v>69</v>
      </c>
      <c r="F599" s="14" t="s">
        <v>95</v>
      </c>
    </row>
    <row r="600" spans="1:6" x14ac:dyDescent="0.3">
      <c r="A600" s="40">
        <v>43700.762697905091</v>
      </c>
      <c r="B600" t="s">
        <v>58</v>
      </c>
      <c r="C600">
        <v>37</v>
      </c>
      <c r="D600" s="14">
        <f>VLOOKUP(Добавить1[[#This Row],[Товар]],$G$1:$H$14,2,0)*Добавить1[[#This Row],[количество_единиц_товара]]</f>
        <v>164835</v>
      </c>
      <c r="E600" t="s">
        <v>69</v>
      </c>
      <c r="F600" s="14" t="s">
        <v>95</v>
      </c>
    </row>
    <row r="601" spans="1:6" x14ac:dyDescent="0.3">
      <c r="A601" s="40">
        <v>43704.242731643521</v>
      </c>
      <c r="B601" t="s">
        <v>56</v>
      </c>
      <c r="C601">
        <v>22</v>
      </c>
      <c r="D601" s="14">
        <f>VLOOKUP(Добавить1[[#This Row],[Товар]],$G$1:$H$14,2,0)*Добавить1[[#This Row],[количество_единиц_товара]]</f>
        <v>35200</v>
      </c>
      <c r="E601" t="s">
        <v>69</v>
      </c>
      <c r="F601" s="14" t="s">
        <v>95</v>
      </c>
    </row>
    <row r="602" spans="1:6" x14ac:dyDescent="0.3">
      <c r="A602" s="40">
        <v>43711.097180208337</v>
      </c>
      <c r="B602" t="s">
        <v>55</v>
      </c>
      <c r="C602">
        <v>18</v>
      </c>
      <c r="D602" s="14">
        <f>VLOOKUP(Добавить1[[#This Row],[Товар]],$G$1:$H$14,2,0)*Добавить1[[#This Row],[количество_единиц_товара]]</f>
        <v>81000</v>
      </c>
      <c r="E602" t="s">
        <v>69</v>
      </c>
      <c r="F602" s="14" t="s">
        <v>95</v>
      </c>
    </row>
    <row r="603" spans="1:6" x14ac:dyDescent="0.3">
      <c r="A603" s="40">
        <v>43733.473327731481</v>
      </c>
      <c r="B603" t="s">
        <v>52</v>
      </c>
      <c r="C603">
        <v>31</v>
      </c>
      <c r="D603" s="14">
        <f>VLOOKUP(Добавить1[[#This Row],[Товар]],$G$1:$H$14,2,0)*Добавить1[[#This Row],[количество_единиц_товара]]</f>
        <v>21080</v>
      </c>
      <c r="E603" t="s">
        <v>69</v>
      </c>
      <c r="F603" s="14" t="s">
        <v>95</v>
      </c>
    </row>
    <row r="604" spans="1:6" x14ac:dyDescent="0.3">
      <c r="A604" s="40">
        <v>43755.926682291669</v>
      </c>
      <c r="B604" t="s">
        <v>50</v>
      </c>
      <c r="C604">
        <v>31</v>
      </c>
      <c r="D604" s="14">
        <f>VLOOKUP(Добавить1[[#This Row],[Товар]],$G$1:$H$14,2,0)*Добавить1[[#This Row],[количество_единиц_товара]]</f>
        <v>68200</v>
      </c>
      <c r="E604" t="s">
        <v>70</v>
      </c>
      <c r="F604" s="14" t="s">
        <v>95</v>
      </c>
    </row>
    <row r="605" spans="1:6" x14ac:dyDescent="0.3">
      <c r="A605" s="40">
        <v>43777.395419456021</v>
      </c>
      <c r="B605" t="s">
        <v>61</v>
      </c>
      <c r="C605">
        <v>22</v>
      </c>
      <c r="D605" s="14">
        <f>VLOOKUP(Добавить1[[#This Row],[Товар]],$G$1:$H$14,2,0)*Добавить1[[#This Row],[количество_единиц_товара]]</f>
        <v>76340</v>
      </c>
      <c r="E605" t="s">
        <v>70</v>
      </c>
      <c r="F605" s="14" t="s">
        <v>95</v>
      </c>
    </row>
    <row r="606" spans="1:6" x14ac:dyDescent="0.3">
      <c r="A606" s="40">
        <v>43787.730395150465</v>
      </c>
      <c r="B606" t="s">
        <v>58</v>
      </c>
      <c r="C606">
        <v>30</v>
      </c>
      <c r="D606" s="14">
        <f>VLOOKUP(Добавить1[[#This Row],[Товар]],$G$1:$H$14,2,0)*Добавить1[[#This Row],[количество_единиц_товара]]</f>
        <v>133650</v>
      </c>
      <c r="E606" t="s">
        <v>69</v>
      </c>
      <c r="F606" s="14" t="s">
        <v>95</v>
      </c>
    </row>
    <row r="607" spans="1:6" x14ac:dyDescent="0.3">
      <c r="A607" s="40">
        <v>43788.906858425929</v>
      </c>
      <c r="B607" t="s">
        <v>56</v>
      </c>
      <c r="C607">
        <v>24</v>
      </c>
      <c r="D607" s="14">
        <f>VLOOKUP(Добавить1[[#This Row],[Товар]],$G$1:$H$14,2,0)*Добавить1[[#This Row],[количество_единиц_товара]]</f>
        <v>38400</v>
      </c>
      <c r="E607" t="s">
        <v>69</v>
      </c>
      <c r="F607" s="14" t="s">
        <v>95</v>
      </c>
    </row>
    <row r="608" spans="1:6" x14ac:dyDescent="0.3">
      <c r="A608" s="40">
        <v>43799.113210208336</v>
      </c>
      <c r="B608" t="s">
        <v>56</v>
      </c>
      <c r="C608">
        <v>10</v>
      </c>
      <c r="D608" s="14">
        <f>VLOOKUP(Добавить1[[#This Row],[Товар]],$G$1:$H$14,2,0)*Добавить1[[#This Row],[количество_единиц_товара]]</f>
        <v>16000</v>
      </c>
      <c r="E608" t="s">
        <v>69</v>
      </c>
      <c r="F608" s="14" t="s">
        <v>95</v>
      </c>
    </row>
    <row r="609" spans="1:6" x14ac:dyDescent="0.3">
      <c r="A609" s="40">
        <v>43811.751493460652</v>
      </c>
      <c r="B609" t="s">
        <v>58</v>
      </c>
      <c r="C609">
        <v>30</v>
      </c>
      <c r="D609" s="14">
        <f>VLOOKUP(Добавить1[[#This Row],[Товар]],$G$1:$H$14,2,0)*Добавить1[[#This Row],[количество_единиц_товара]]</f>
        <v>133650</v>
      </c>
      <c r="E609" t="s">
        <v>70</v>
      </c>
      <c r="F609" s="14" t="s">
        <v>95</v>
      </c>
    </row>
    <row r="610" spans="1:6" x14ac:dyDescent="0.3">
      <c r="A610" s="40">
        <v>43840.31563365741</v>
      </c>
      <c r="B610" t="s">
        <v>60</v>
      </c>
      <c r="C610">
        <v>26</v>
      </c>
      <c r="D610" s="14">
        <f>VLOOKUP(Добавить1[[#This Row],[Товар]],$G$1:$H$14,2,0)*Добавить1[[#This Row],[количество_единиц_товара]]</f>
        <v>150514</v>
      </c>
      <c r="E610" t="s">
        <v>70</v>
      </c>
      <c r="F610" s="14" t="s">
        <v>95</v>
      </c>
    </row>
    <row r="611" spans="1:6" x14ac:dyDescent="0.3">
      <c r="A611" s="40">
        <v>43856.285464560184</v>
      </c>
      <c r="B611" t="s">
        <v>52</v>
      </c>
      <c r="C611">
        <v>35</v>
      </c>
      <c r="D611" s="14">
        <f>VLOOKUP(Добавить1[[#This Row],[Товар]],$G$1:$H$14,2,0)*Добавить1[[#This Row],[количество_единиц_товара]]</f>
        <v>23800</v>
      </c>
      <c r="E611" t="s">
        <v>69</v>
      </c>
      <c r="F611" s="14" t="s">
        <v>95</v>
      </c>
    </row>
    <row r="612" spans="1:6" x14ac:dyDescent="0.3">
      <c r="A612" s="40">
        <v>43857.726571631945</v>
      </c>
      <c r="B612" t="s">
        <v>50</v>
      </c>
      <c r="C612">
        <v>20</v>
      </c>
      <c r="D612" s="14">
        <f>VLOOKUP(Добавить1[[#This Row],[Товар]],$G$1:$H$14,2,0)*Добавить1[[#This Row],[количество_единиц_товара]]</f>
        <v>44000</v>
      </c>
      <c r="E612" t="s">
        <v>69</v>
      </c>
      <c r="F612" s="14" t="s">
        <v>95</v>
      </c>
    </row>
    <row r="613" spans="1:6" x14ac:dyDescent="0.3">
      <c r="A613" s="40">
        <v>43868.220330370372</v>
      </c>
      <c r="B613" t="s">
        <v>54</v>
      </c>
      <c r="C613">
        <v>32</v>
      </c>
      <c r="D613" s="14">
        <f>VLOOKUP(Добавить1[[#This Row],[Товар]],$G$1:$H$14,2,0)*Добавить1[[#This Row],[количество_единиц_товара]]</f>
        <v>78400</v>
      </c>
      <c r="E613" t="s">
        <v>69</v>
      </c>
      <c r="F613" s="14" t="s">
        <v>95</v>
      </c>
    </row>
    <row r="614" spans="1:6" x14ac:dyDescent="0.3">
      <c r="A614" s="40">
        <v>43870.604314479169</v>
      </c>
      <c r="B614" t="s">
        <v>60</v>
      </c>
      <c r="C614">
        <v>39</v>
      </c>
      <c r="D614" s="14">
        <f>VLOOKUP(Добавить1[[#This Row],[Товар]],$G$1:$H$14,2,0)*Добавить1[[#This Row],[количество_единиц_товара]]</f>
        <v>225771</v>
      </c>
      <c r="E614" t="s">
        <v>69</v>
      </c>
      <c r="F614" s="14" t="s">
        <v>95</v>
      </c>
    </row>
    <row r="615" spans="1:6" x14ac:dyDescent="0.3">
      <c r="A615" s="40">
        <v>43877.341611099539</v>
      </c>
      <c r="B615" t="s">
        <v>50</v>
      </c>
      <c r="C615">
        <v>16</v>
      </c>
      <c r="D615" s="14">
        <f>VLOOKUP(Добавить1[[#This Row],[Товар]],$G$1:$H$14,2,0)*Добавить1[[#This Row],[количество_единиц_товара]]</f>
        <v>35200</v>
      </c>
      <c r="E615" t="s">
        <v>70</v>
      </c>
      <c r="F615" s="14" t="s">
        <v>95</v>
      </c>
    </row>
    <row r="616" spans="1:6" x14ac:dyDescent="0.3">
      <c r="A616" s="40">
        <v>43884.130658622686</v>
      </c>
      <c r="B616" t="s">
        <v>52</v>
      </c>
      <c r="C616">
        <v>33</v>
      </c>
      <c r="D616" s="14">
        <f>VLOOKUP(Добавить1[[#This Row],[Товар]],$G$1:$H$14,2,0)*Добавить1[[#This Row],[количество_единиц_товара]]</f>
        <v>22440</v>
      </c>
      <c r="E616" t="s">
        <v>69</v>
      </c>
      <c r="F616" s="14" t="s">
        <v>95</v>
      </c>
    </row>
    <row r="617" spans="1:6" x14ac:dyDescent="0.3">
      <c r="A617" s="40">
        <v>43889.024602824073</v>
      </c>
      <c r="B617" t="s">
        <v>56</v>
      </c>
      <c r="C617">
        <v>16</v>
      </c>
      <c r="D617" s="14">
        <f>VLOOKUP(Добавить1[[#This Row],[Товар]],$G$1:$H$14,2,0)*Добавить1[[#This Row],[количество_единиц_товара]]</f>
        <v>25600</v>
      </c>
      <c r="E617" t="s">
        <v>70</v>
      </c>
      <c r="F617" s="14" t="s">
        <v>95</v>
      </c>
    </row>
    <row r="618" spans="1:6" x14ac:dyDescent="0.3">
      <c r="A618" s="40">
        <v>43894.051341377315</v>
      </c>
      <c r="B618" t="s">
        <v>55</v>
      </c>
      <c r="C618">
        <v>39</v>
      </c>
      <c r="D618" s="14">
        <f>VLOOKUP(Добавить1[[#This Row],[Товар]],$G$1:$H$14,2,0)*Добавить1[[#This Row],[количество_единиц_товара]]</f>
        <v>175500</v>
      </c>
      <c r="E618" t="s">
        <v>69</v>
      </c>
      <c r="F618" s="14" t="s">
        <v>95</v>
      </c>
    </row>
    <row r="619" spans="1:6" x14ac:dyDescent="0.3">
      <c r="A619" s="40">
        <v>43894.69400653935</v>
      </c>
      <c r="B619" t="s">
        <v>50</v>
      </c>
      <c r="C619">
        <v>39</v>
      </c>
      <c r="D619" s="14">
        <f>VLOOKUP(Добавить1[[#This Row],[Товар]],$G$1:$H$14,2,0)*Добавить1[[#This Row],[количество_единиц_товара]]</f>
        <v>85800</v>
      </c>
      <c r="E619" t="s">
        <v>70</v>
      </c>
      <c r="F619" s="14" t="s">
        <v>95</v>
      </c>
    </row>
    <row r="620" spans="1:6" x14ac:dyDescent="0.3">
      <c r="A620" s="40">
        <v>43897.013452766201</v>
      </c>
      <c r="B620" t="s">
        <v>59</v>
      </c>
      <c r="C620">
        <v>38</v>
      </c>
      <c r="D620" s="14">
        <f>VLOOKUP(Добавить1[[#This Row],[Товар]],$G$1:$H$14,2,0)*Добавить1[[#This Row],[количество_единиц_товара]]</f>
        <v>76000</v>
      </c>
      <c r="E620" t="s">
        <v>69</v>
      </c>
      <c r="F620" s="14" t="s">
        <v>95</v>
      </c>
    </row>
    <row r="621" spans="1:6" x14ac:dyDescent="0.3">
      <c r="A621" s="40">
        <v>43904.475755821761</v>
      </c>
      <c r="B621" t="s">
        <v>49</v>
      </c>
      <c r="C621">
        <v>34</v>
      </c>
      <c r="D621" s="14">
        <f>VLOOKUP(Добавить1[[#This Row],[Товар]],$G$1:$H$14,2,0)*Добавить1[[#This Row],[количество_единиц_товара]]</f>
        <v>105400</v>
      </c>
      <c r="E621" t="s">
        <v>70</v>
      </c>
      <c r="F621" s="14" t="s">
        <v>95</v>
      </c>
    </row>
    <row r="622" spans="1:6" x14ac:dyDescent="0.3">
      <c r="A622" s="40">
        <v>43917.396138842596</v>
      </c>
      <c r="B622" t="s">
        <v>52</v>
      </c>
      <c r="C622">
        <v>22</v>
      </c>
      <c r="D622" s="14">
        <f>VLOOKUP(Добавить1[[#This Row],[Товар]],$G$1:$H$14,2,0)*Добавить1[[#This Row],[количество_единиц_товара]]</f>
        <v>14960</v>
      </c>
      <c r="E622" t="s">
        <v>69</v>
      </c>
      <c r="F622" s="14" t="s">
        <v>95</v>
      </c>
    </row>
    <row r="623" spans="1:6" x14ac:dyDescent="0.3">
      <c r="A623" s="40">
        <v>43923.832484791667</v>
      </c>
      <c r="B623" t="s">
        <v>51</v>
      </c>
      <c r="C623">
        <v>27</v>
      </c>
      <c r="D623" s="14">
        <f>VLOOKUP(Добавить1[[#This Row],[Товар]],$G$1:$H$14,2,0)*Добавить1[[#This Row],[количество_единиц_товара]]</f>
        <v>69120</v>
      </c>
      <c r="E623" t="s">
        <v>70</v>
      </c>
      <c r="F623" s="14" t="s">
        <v>95</v>
      </c>
    </row>
    <row r="624" spans="1:6" x14ac:dyDescent="0.3">
      <c r="A624" s="40">
        <v>43927.121661180558</v>
      </c>
      <c r="B624" t="s">
        <v>61</v>
      </c>
      <c r="C624">
        <v>34</v>
      </c>
      <c r="D624" s="14">
        <f>VLOOKUP(Добавить1[[#This Row],[Товар]],$G$1:$H$14,2,0)*Добавить1[[#This Row],[количество_единиц_товара]]</f>
        <v>117980</v>
      </c>
      <c r="E624" t="s">
        <v>69</v>
      </c>
      <c r="F624" s="14" t="s">
        <v>95</v>
      </c>
    </row>
    <row r="625" spans="1:6" x14ac:dyDescent="0.3">
      <c r="A625" s="40">
        <v>43933.457411469906</v>
      </c>
      <c r="B625" t="s">
        <v>59</v>
      </c>
      <c r="C625">
        <v>17</v>
      </c>
      <c r="D625" s="14">
        <f>VLOOKUP(Добавить1[[#This Row],[Товар]],$G$1:$H$14,2,0)*Добавить1[[#This Row],[количество_единиц_товара]]</f>
        <v>34000</v>
      </c>
      <c r="E625" t="s">
        <v>70</v>
      </c>
      <c r="F625" s="14" t="s">
        <v>95</v>
      </c>
    </row>
    <row r="626" spans="1:6" x14ac:dyDescent="0.3">
      <c r="A626" s="40">
        <v>43939.291511516203</v>
      </c>
      <c r="B626" t="s">
        <v>51</v>
      </c>
      <c r="C626">
        <v>29</v>
      </c>
      <c r="D626" s="14">
        <f>VLOOKUP(Добавить1[[#This Row],[Товар]],$G$1:$H$14,2,0)*Добавить1[[#This Row],[количество_единиц_товара]]</f>
        <v>74240</v>
      </c>
      <c r="E626" t="s">
        <v>69</v>
      </c>
      <c r="F626" s="14" t="s">
        <v>95</v>
      </c>
    </row>
    <row r="627" spans="1:6" x14ac:dyDescent="0.3">
      <c r="A627" s="40">
        <v>43941.142521238427</v>
      </c>
      <c r="B627" t="s">
        <v>59</v>
      </c>
      <c r="C627">
        <v>20</v>
      </c>
      <c r="D627" s="14">
        <f>VLOOKUP(Добавить1[[#This Row],[Товар]],$G$1:$H$14,2,0)*Добавить1[[#This Row],[количество_единиц_товара]]</f>
        <v>40000</v>
      </c>
      <c r="E627" t="s">
        <v>70</v>
      </c>
      <c r="F627" s="14" t="s">
        <v>95</v>
      </c>
    </row>
    <row r="628" spans="1:6" x14ac:dyDescent="0.3">
      <c r="A628" s="40">
        <v>43949.648510104169</v>
      </c>
      <c r="B628" t="s">
        <v>55</v>
      </c>
      <c r="C628">
        <v>14</v>
      </c>
      <c r="D628" s="14">
        <f>VLOOKUP(Добавить1[[#This Row],[Товар]],$G$1:$H$14,2,0)*Добавить1[[#This Row],[количество_единиц_товара]]</f>
        <v>63000</v>
      </c>
      <c r="E628" t="s">
        <v>69</v>
      </c>
      <c r="F628" s="14" t="s">
        <v>95</v>
      </c>
    </row>
    <row r="629" spans="1:6" x14ac:dyDescent="0.3">
      <c r="A629" s="40">
        <v>43959.905719594906</v>
      </c>
      <c r="B629" t="s">
        <v>52</v>
      </c>
      <c r="C629">
        <v>11</v>
      </c>
      <c r="D629" s="14">
        <f>VLOOKUP(Добавить1[[#This Row],[Товар]],$G$1:$H$14,2,0)*Добавить1[[#This Row],[количество_единиц_товара]]</f>
        <v>7480</v>
      </c>
      <c r="E629" t="s">
        <v>70</v>
      </c>
      <c r="F629" s="14" t="s">
        <v>95</v>
      </c>
    </row>
    <row r="630" spans="1:6" x14ac:dyDescent="0.3">
      <c r="A630" s="40">
        <v>43970.662422048612</v>
      </c>
      <c r="B630" t="s">
        <v>51</v>
      </c>
      <c r="C630">
        <v>28</v>
      </c>
      <c r="D630" s="14">
        <f>VLOOKUP(Добавить1[[#This Row],[Товар]],$G$1:$H$14,2,0)*Добавить1[[#This Row],[количество_единиц_товара]]</f>
        <v>71680</v>
      </c>
      <c r="E630" t="s">
        <v>69</v>
      </c>
      <c r="F630" s="14" t="s">
        <v>95</v>
      </c>
    </row>
    <row r="631" spans="1:6" x14ac:dyDescent="0.3">
      <c r="A631" s="40">
        <v>43985.890502141207</v>
      </c>
      <c r="B631" t="s">
        <v>59</v>
      </c>
      <c r="C631">
        <v>17</v>
      </c>
      <c r="D631" s="14">
        <f>VLOOKUP(Добавить1[[#This Row],[Товар]],$G$1:$H$14,2,0)*Добавить1[[#This Row],[количество_единиц_товара]]</f>
        <v>34000</v>
      </c>
      <c r="E631" t="s">
        <v>70</v>
      </c>
      <c r="F631" s="14" t="s">
        <v>95</v>
      </c>
    </row>
    <row r="632" spans="1:6" x14ac:dyDescent="0.3">
      <c r="A632" s="40">
        <v>43995.553612754629</v>
      </c>
      <c r="B632" t="s">
        <v>51</v>
      </c>
      <c r="C632">
        <v>34</v>
      </c>
      <c r="D632" s="14">
        <f>VLOOKUP(Добавить1[[#This Row],[Товар]],$G$1:$H$14,2,0)*Добавить1[[#This Row],[количество_единиц_товара]]</f>
        <v>87040</v>
      </c>
      <c r="E632" t="s">
        <v>69</v>
      </c>
      <c r="F632" s="14" t="s">
        <v>95</v>
      </c>
    </row>
    <row r="633" spans="1:6" x14ac:dyDescent="0.3">
      <c r="A633" s="40">
        <v>44019.143972951388</v>
      </c>
      <c r="B633" t="s">
        <v>50</v>
      </c>
      <c r="C633">
        <v>24</v>
      </c>
      <c r="D633" s="14">
        <f>VLOOKUP(Добавить1[[#This Row],[Товар]],$G$1:$H$14,2,0)*Добавить1[[#This Row],[количество_единиц_товара]]</f>
        <v>52800</v>
      </c>
      <c r="E633" t="s">
        <v>69</v>
      </c>
      <c r="F633" s="14" t="s">
        <v>95</v>
      </c>
    </row>
    <row r="634" spans="1:6" x14ac:dyDescent="0.3">
      <c r="A634" s="40">
        <v>44023.302238518518</v>
      </c>
      <c r="B634" t="s">
        <v>59</v>
      </c>
      <c r="C634">
        <v>12</v>
      </c>
      <c r="D634" s="14">
        <f>VLOOKUP(Добавить1[[#This Row],[Товар]],$G$1:$H$14,2,0)*Добавить1[[#This Row],[количество_единиц_товара]]</f>
        <v>24000</v>
      </c>
      <c r="E634" t="s">
        <v>69</v>
      </c>
      <c r="F634" s="14" t="s">
        <v>95</v>
      </c>
    </row>
    <row r="635" spans="1:6" x14ac:dyDescent="0.3">
      <c r="A635" s="40">
        <v>44026.899521504631</v>
      </c>
      <c r="B635" t="s">
        <v>58</v>
      </c>
      <c r="C635">
        <v>38</v>
      </c>
      <c r="D635" s="14">
        <f>VLOOKUP(Добавить1[[#This Row],[Товар]],$G$1:$H$14,2,0)*Добавить1[[#This Row],[количество_единиц_товара]]</f>
        <v>169290</v>
      </c>
      <c r="E635" t="s">
        <v>69</v>
      </c>
      <c r="F635" s="14" t="s">
        <v>95</v>
      </c>
    </row>
    <row r="636" spans="1:6" x14ac:dyDescent="0.3">
      <c r="A636" s="40">
        <v>44034.700138206019</v>
      </c>
      <c r="B636" t="s">
        <v>51</v>
      </c>
      <c r="C636">
        <v>24</v>
      </c>
      <c r="D636" s="14">
        <f>VLOOKUP(Добавить1[[#This Row],[Товар]],$G$1:$H$14,2,0)*Добавить1[[#This Row],[количество_единиц_товара]]</f>
        <v>61440</v>
      </c>
      <c r="E636" t="s">
        <v>70</v>
      </c>
      <c r="F636" s="14" t="s">
        <v>95</v>
      </c>
    </row>
    <row r="637" spans="1:6" x14ac:dyDescent="0.3">
      <c r="A637" s="40">
        <v>44038.898069872688</v>
      </c>
      <c r="B637" t="s">
        <v>55</v>
      </c>
      <c r="C637">
        <v>19</v>
      </c>
      <c r="D637" s="14">
        <f>VLOOKUP(Добавить1[[#This Row],[Товар]],$G$1:$H$14,2,0)*Добавить1[[#This Row],[количество_единиц_товара]]</f>
        <v>85500</v>
      </c>
      <c r="E637" t="s">
        <v>69</v>
      </c>
      <c r="F637" s="14" t="s">
        <v>95</v>
      </c>
    </row>
    <row r="638" spans="1:6" x14ac:dyDescent="0.3">
      <c r="A638" s="40">
        <v>44052.752740625001</v>
      </c>
      <c r="B638" t="s">
        <v>58</v>
      </c>
      <c r="C638">
        <v>14</v>
      </c>
      <c r="D638" s="14">
        <f>VLOOKUP(Добавить1[[#This Row],[Товар]],$G$1:$H$14,2,0)*Добавить1[[#This Row],[количество_единиц_товара]]</f>
        <v>62370</v>
      </c>
      <c r="E638" t="s">
        <v>69</v>
      </c>
      <c r="F638" s="14" t="s">
        <v>95</v>
      </c>
    </row>
    <row r="639" spans="1:6" x14ac:dyDescent="0.3">
      <c r="A639" s="40">
        <v>44060.155178807872</v>
      </c>
      <c r="B639" t="s">
        <v>53</v>
      </c>
      <c r="C639">
        <v>21</v>
      </c>
      <c r="D639" s="14">
        <f>VLOOKUP(Добавить1[[#This Row],[Товар]],$G$1:$H$14,2,0)*Добавить1[[#This Row],[количество_единиц_товара]]</f>
        <v>37548</v>
      </c>
      <c r="E639" t="s">
        <v>69</v>
      </c>
      <c r="F639" s="14" t="s">
        <v>95</v>
      </c>
    </row>
    <row r="640" spans="1:6" x14ac:dyDescent="0.3">
      <c r="A640" s="40">
        <v>44077.272752476849</v>
      </c>
      <c r="B640" t="s">
        <v>51</v>
      </c>
      <c r="C640">
        <v>37</v>
      </c>
      <c r="D640" s="14">
        <f>VLOOKUP(Добавить1[[#This Row],[Товар]],$G$1:$H$14,2,0)*Добавить1[[#This Row],[количество_единиц_товара]]</f>
        <v>94720</v>
      </c>
      <c r="E640" t="s">
        <v>70</v>
      </c>
      <c r="F640" s="14" t="s">
        <v>95</v>
      </c>
    </row>
    <row r="641" spans="1:6" x14ac:dyDescent="0.3">
      <c r="A641" s="40">
        <v>44082.034003414352</v>
      </c>
      <c r="B641" t="s">
        <v>51</v>
      </c>
      <c r="C641">
        <v>16</v>
      </c>
      <c r="D641" s="14">
        <f>VLOOKUP(Добавить1[[#This Row],[Товар]],$G$1:$H$14,2,0)*Добавить1[[#This Row],[количество_единиц_товара]]</f>
        <v>40960</v>
      </c>
      <c r="E641" t="s">
        <v>69</v>
      </c>
      <c r="F641" s="14" t="s">
        <v>95</v>
      </c>
    </row>
    <row r="642" spans="1:6" x14ac:dyDescent="0.3">
      <c r="A642" s="40">
        <v>44089.346790902775</v>
      </c>
      <c r="B642" t="s">
        <v>52</v>
      </c>
      <c r="C642">
        <v>34</v>
      </c>
      <c r="D642" s="14">
        <f>VLOOKUP(Добавить1[[#This Row],[Товар]],$G$1:$H$14,2,0)*Добавить1[[#This Row],[количество_единиц_товара]]</f>
        <v>23120</v>
      </c>
      <c r="E642" t="s">
        <v>69</v>
      </c>
      <c r="F642" s="14" t="s">
        <v>95</v>
      </c>
    </row>
    <row r="643" spans="1:6" x14ac:dyDescent="0.3">
      <c r="A643" s="40">
        <v>44091.612151793983</v>
      </c>
      <c r="B643" t="s">
        <v>60</v>
      </c>
      <c r="C643">
        <v>34</v>
      </c>
      <c r="D643" s="14">
        <f>VLOOKUP(Добавить1[[#This Row],[Товар]],$G$1:$H$14,2,0)*Добавить1[[#This Row],[количество_единиц_товара]]</f>
        <v>196826</v>
      </c>
      <c r="E643" t="s">
        <v>69</v>
      </c>
      <c r="F643" s="14" t="s">
        <v>95</v>
      </c>
    </row>
    <row r="644" spans="1:6" x14ac:dyDescent="0.3">
      <c r="A644" s="40">
        <v>44093.755565439817</v>
      </c>
      <c r="B644" t="s">
        <v>54</v>
      </c>
      <c r="C644">
        <v>12</v>
      </c>
      <c r="D644" s="14">
        <f>VLOOKUP(Добавить1[[#This Row],[Товар]],$G$1:$H$14,2,0)*Добавить1[[#This Row],[количество_единиц_товара]]</f>
        <v>29400</v>
      </c>
      <c r="E644" t="s">
        <v>70</v>
      </c>
      <c r="F644" s="14" t="s">
        <v>95</v>
      </c>
    </row>
    <row r="645" spans="1:6" x14ac:dyDescent="0.3">
      <c r="A645" s="40">
        <v>44109.39343989583</v>
      </c>
      <c r="B645" t="s">
        <v>52</v>
      </c>
      <c r="C645">
        <v>23</v>
      </c>
      <c r="D645" s="14">
        <f>VLOOKUP(Добавить1[[#This Row],[Товар]],$G$1:$H$14,2,0)*Добавить1[[#This Row],[количество_единиц_товара]]</f>
        <v>15640</v>
      </c>
      <c r="E645" t="s">
        <v>69</v>
      </c>
      <c r="F645" s="14" t="s">
        <v>95</v>
      </c>
    </row>
    <row r="646" spans="1:6" x14ac:dyDescent="0.3">
      <c r="A646" s="40">
        <v>44117.971184224538</v>
      </c>
      <c r="B646" t="s">
        <v>58</v>
      </c>
      <c r="C646">
        <v>13</v>
      </c>
      <c r="D646" s="14">
        <f>VLOOKUP(Добавить1[[#This Row],[Товар]],$G$1:$H$14,2,0)*Добавить1[[#This Row],[количество_единиц_товара]]</f>
        <v>57915</v>
      </c>
      <c r="E646" t="s">
        <v>69</v>
      </c>
      <c r="F646" s="14" t="s">
        <v>95</v>
      </c>
    </row>
    <row r="647" spans="1:6" x14ac:dyDescent="0.3">
      <c r="A647" s="40">
        <v>44119.859790972223</v>
      </c>
      <c r="B647" t="s">
        <v>51</v>
      </c>
      <c r="C647">
        <v>37</v>
      </c>
      <c r="D647" s="14">
        <f>VLOOKUP(Добавить1[[#This Row],[Товар]],$G$1:$H$14,2,0)*Добавить1[[#This Row],[количество_единиц_товара]]</f>
        <v>94720</v>
      </c>
      <c r="E647" t="s">
        <v>69</v>
      </c>
      <c r="F647" s="14" t="s">
        <v>95</v>
      </c>
    </row>
    <row r="648" spans="1:6" x14ac:dyDescent="0.3">
      <c r="A648" s="40">
        <v>44130.417985243053</v>
      </c>
      <c r="B648" t="s">
        <v>51</v>
      </c>
      <c r="C648">
        <v>31</v>
      </c>
      <c r="D648" s="14">
        <f>VLOOKUP(Добавить1[[#This Row],[Товар]],$G$1:$H$14,2,0)*Добавить1[[#This Row],[количество_единиц_товара]]</f>
        <v>79360</v>
      </c>
      <c r="E648" t="s">
        <v>70</v>
      </c>
      <c r="F648" s="14" t="s">
        <v>95</v>
      </c>
    </row>
    <row r="649" spans="1:6" x14ac:dyDescent="0.3">
      <c r="A649" s="40">
        <v>44138.969871331021</v>
      </c>
      <c r="B649" t="s">
        <v>60</v>
      </c>
      <c r="C649">
        <v>21</v>
      </c>
      <c r="D649" s="14">
        <f>VLOOKUP(Добавить1[[#This Row],[Товар]],$G$1:$H$14,2,0)*Добавить1[[#This Row],[количество_единиц_товара]]</f>
        <v>121569</v>
      </c>
      <c r="E649" t="s">
        <v>69</v>
      </c>
      <c r="F649" s="14" t="s">
        <v>95</v>
      </c>
    </row>
    <row r="650" spans="1:6" x14ac:dyDescent="0.3">
      <c r="A650" s="40">
        <v>44142.419525960649</v>
      </c>
      <c r="B650" t="s">
        <v>58</v>
      </c>
      <c r="C650">
        <v>25</v>
      </c>
      <c r="D650" s="14">
        <f>VLOOKUP(Добавить1[[#This Row],[Товар]],$G$1:$H$14,2,0)*Добавить1[[#This Row],[количество_единиц_товара]]</f>
        <v>111375</v>
      </c>
      <c r="E650" t="s">
        <v>69</v>
      </c>
      <c r="F650" s="14" t="s">
        <v>95</v>
      </c>
    </row>
    <row r="651" spans="1:6" x14ac:dyDescent="0.3">
      <c r="A651" s="40">
        <v>44144.708528310184</v>
      </c>
      <c r="B651" t="s">
        <v>55</v>
      </c>
      <c r="C651">
        <v>14</v>
      </c>
      <c r="D651" s="14">
        <f>VLOOKUP(Добавить1[[#This Row],[Товар]],$G$1:$H$14,2,0)*Добавить1[[#This Row],[количество_единиц_товара]]</f>
        <v>63000</v>
      </c>
      <c r="E651" t="s">
        <v>69</v>
      </c>
      <c r="F651" s="14" t="s">
        <v>95</v>
      </c>
    </row>
    <row r="652" spans="1:6" x14ac:dyDescent="0.3">
      <c r="A652" s="40">
        <v>44153.375301701388</v>
      </c>
      <c r="B652" t="s">
        <v>50</v>
      </c>
      <c r="C652">
        <v>37</v>
      </c>
      <c r="D652" s="14">
        <f>VLOOKUP(Добавить1[[#This Row],[Товар]],$G$1:$H$14,2,0)*Добавить1[[#This Row],[количество_единиц_товара]]</f>
        <v>81400</v>
      </c>
      <c r="E652" t="s">
        <v>70</v>
      </c>
      <c r="F652" s="14" t="s">
        <v>95</v>
      </c>
    </row>
    <row r="653" spans="1:6" x14ac:dyDescent="0.3">
      <c r="A653" s="40">
        <v>44166.764069907411</v>
      </c>
      <c r="B653" t="s">
        <v>49</v>
      </c>
      <c r="C653">
        <v>14</v>
      </c>
      <c r="D653" s="14">
        <f>VLOOKUP(Добавить1[[#This Row],[Товар]],$G$1:$H$14,2,0)*Добавить1[[#This Row],[количество_единиц_товара]]</f>
        <v>43400</v>
      </c>
      <c r="E653" t="s">
        <v>69</v>
      </c>
      <c r="F653" s="14" t="s">
        <v>95</v>
      </c>
    </row>
    <row r="654" spans="1:6" x14ac:dyDescent="0.3">
      <c r="A654" s="40">
        <v>44168.372073379629</v>
      </c>
      <c r="B654" t="s">
        <v>51</v>
      </c>
      <c r="C654">
        <v>23</v>
      </c>
      <c r="D654" s="14">
        <f>VLOOKUP(Добавить1[[#This Row],[Товар]],$G$1:$H$14,2,0)*Добавить1[[#This Row],[количество_единиц_товара]]</f>
        <v>58880</v>
      </c>
      <c r="E654" t="s">
        <v>69</v>
      </c>
      <c r="F654" s="14" t="s">
        <v>95</v>
      </c>
    </row>
    <row r="655" spans="1:6" x14ac:dyDescent="0.3">
      <c r="A655" s="40">
        <v>44172.791236319441</v>
      </c>
      <c r="B655" t="s">
        <v>54</v>
      </c>
      <c r="C655">
        <v>15</v>
      </c>
      <c r="D655" s="14">
        <f>VLOOKUP(Добавить1[[#This Row],[Товар]],$G$1:$H$14,2,0)*Добавить1[[#This Row],[количество_единиц_товара]]</f>
        <v>36750</v>
      </c>
      <c r="E655" t="s">
        <v>69</v>
      </c>
      <c r="F655" s="14" t="s">
        <v>95</v>
      </c>
    </row>
    <row r="656" spans="1:6" x14ac:dyDescent="0.3">
      <c r="A656" s="40">
        <v>44191.577530879629</v>
      </c>
      <c r="B656" t="s">
        <v>61</v>
      </c>
      <c r="C656">
        <v>24</v>
      </c>
      <c r="D656" s="14">
        <f>VLOOKUP(Добавить1[[#This Row],[Товар]],$G$1:$H$14,2,0)*Добавить1[[#This Row],[количество_единиц_товара]]</f>
        <v>83280</v>
      </c>
      <c r="E656" t="s">
        <v>69</v>
      </c>
      <c r="F656" s="14" t="s">
        <v>95</v>
      </c>
    </row>
    <row r="657" spans="1:6" x14ac:dyDescent="0.3">
      <c r="A657" s="40">
        <v>44199.838401527777</v>
      </c>
      <c r="B657" t="s">
        <v>54</v>
      </c>
      <c r="C657">
        <v>23</v>
      </c>
      <c r="D657" s="14">
        <f>VLOOKUP(Добавить1[[#This Row],[Товар]],$G$1:$H$14,2,0)*Добавить1[[#This Row],[количество_единиц_товара]]</f>
        <v>56350</v>
      </c>
      <c r="E657" t="s">
        <v>69</v>
      </c>
      <c r="F657" s="14" t="s">
        <v>95</v>
      </c>
    </row>
    <row r="658" spans="1:6" x14ac:dyDescent="0.3">
      <c r="A658" s="40">
        <v>44210.914496122685</v>
      </c>
      <c r="B658" t="s">
        <v>56</v>
      </c>
      <c r="C658">
        <v>11</v>
      </c>
      <c r="D658" s="14">
        <f>VLOOKUP(Добавить1[[#This Row],[Товар]],$G$1:$H$14,2,0)*Добавить1[[#This Row],[количество_единиц_товара]]</f>
        <v>17600</v>
      </c>
      <c r="E658" t="s">
        <v>69</v>
      </c>
      <c r="F658" s="14" t="s">
        <v>95</v>
      </c>
    </row>
    <row r="659" spans="1:6" x14ac:dyDescent="0.3">
      <c r="A659" s="40">
        <v>44215.089094351853</v>
      </c>
      <c r="B659" t="s">
        <v>60</v>
      </c>
      <c r="C659">
        <v>12</v>
      </c>
      <c r="D659" s="14">
        <f>VLOOKUP(Добавить1[[#This Row],[Товар]],$G$1:$H$14,2,0)*Добавить1[[#This Row],[количество_единиц_товара]]</f>
        <v>69468</v>
      </c>
      <c r="E659" t="s">
        <v>69</v>
      </c>
      <c r="F659" s="14" t="s">
        <v>95</v>
      </c>
    </row>
    <row r="660" spans="1:6" x14ac:dyDescent="0.3">
      <c r="A660" s="40">
        <v>44227.478009467595</v>
      </c>
      <c r="B660" t="s">
        <v>51</v>
      </c>
      <c r="C660">
        <v>19</v>
      </c>
      <c r="D660" s="14">
        <f>VLOOKUP(Добавить1[[#This Row],[Товар]],$G$1:$H$14,2,0)*Добавить1[[#This Row],[количество_единиц_товара]]</f>
        <v>48640</v>
      </c>
      <c r="E660" t="s">
        <v>69</v>
      </c>
      <c r="F660" s="14" t="s">
        <v>95</v>
      </c>
    </row>
    <row r="661" spans="1:6" x14ac:dyDescent="0.3">
      <c r="A661" s="40">
        <v>44236.822675902775</v>
      </c>
      <c r="B661" t="s">
        <v>50</v>
      </c>
      <c r="C661">
        <v>40</v>
      </c>
      <c r="D661" s="14">
        <f>VLOOKUP(Добавить1[[#This Row],[Товар]],$G$1:$H$14,2,0)*Добавить1[[#This Row],[количество_единиц_товара]]</f>
        <v>88000</v>
      </c>
      <c r="E661" t="s">
        <v>69</v>
      </c>
      <c r="F661" s="14" t="s">
        <v>95</v>
      </c>
    </row>
    <row r="662" spans="1:6" x14ac:dyDescent="0.3">
      <c r="A662" s="40">
        <v>44241.384426909724</v>
      </c>
      <c r="B662" t="s">
        <v>56</v>
      </c>
      <c r="C662">
        <v>12</v>
      </c>
      <c r="D662" s="14">
        <f>VLOOKUP(Добавить1[[#This Row],[Товар]],$G$1:$H$14,2,0)*Добавить1[[#This Row],[количество_единиц_товара]]</f>
        <v>19200</v>
      </c>
      <c r="E662" t="s">
        <v>69</v>
      </c>
      <c r="F662" s="14" t="s">
        <v>95</v>
      </c>
    </row>
    <row r="663" spans="1:6" x14ac:dyDescent="0.3">
      <c r="A663" s="40">
        <v>44247.857225740743</v>
      </c>
      <c r="B663" t="s">
        <v>59</v>
      </c>
      <c r="C663">
        <v>20</v>
      </c>
      <c r="D663" s="14">
        <f>VLOOKUP(Добавить1[[#This Row],[Товар]],$G$1:$H$14,2,0)*Добавить1[[#This Row],[количество_единиц_товара]]</f>
        <v>40000</v>
      </c>
      <c r="E663" t="s">
        <v>69</v>
      </c>
      <c r="F663" s="14" t="s">
        <v>95</v>
      </c>
    </row>
    <row r="664" spans="1:6" x14ac:dyDescent="0.3">
      <c r="A664" s="40">
        <v>44279.024333148147</v>
      </c>
      <c r="B664" t="s">
        <v>54</v>
      </c>
      <c r="C664">
        <v>35</v>
      </c>
      <c r="D664" s="14">
        <f>VLOOKUP(Добавить1[[#This Row],[Товар]],$G$1:$H$14,2,0)*Добавить1[[#This Row],[количество_единиц_товара]]</f>
        <v>85750</v>
      </c>
      <c r="E664" t="s">
        <v>69</v>
      </c>
      <c r="F664" s="14" t="s">
        <v>95</v>
      </c>
    </row>
    <row r="665" spans="1:6" x14ac:dyDescent="0.3">
      <c r="A665" s="40">
        <v>44286.434090543982</v>
      </c>
      <c r="B665" t="s">
        <v>57</v>
      </c>
      <c r="C665">
        <v>18</v>
      </c>
      <c r="D665" s="14">
        <f>VLOOKUP(Добавить1[[#This Row],[Товар]],$G$1:$H$14,2,0)*Добавить1[[#This Row],[количество_единиц_товара]]</f>
        <v>68328</v>
      </c>
      <c r="E665" t="s">
        <v>69</v>
      </c>
      <c r="F665" s="14" t="s">
        <v>95</v>
      </c>
    </row>
    <row r="666" spans="1:6" x14ac:dyDescent="0.3">
      <c r="A666" s="40">
        <v>44303.019638425925</v>
      </c>
      <c r="B666" t="s">
        <v>50</v>
      </c>
      <c r="C666">
        <v>21</v>
      </c>
      <c r="D666" s="14">
        <f>VLOOKUP(Добавить1[[#This Row],[Товар]],$G$1:$H$14,2,0)*Добавить1[[#This Row],[количество_единиц_товара]]</f>
        <v>46200</v>
      </c>
      <c r="E666" t="s">
        <v>69</v>
      </c>
      <c r="F666" s="14" t="s">
        <v>95</v>
      </c>
    </row>
    <row r="667" spans="1:6" x14ac:dyDescent="0.3">
      <c r="A667" s="40">
        <v>44304.855890243052</v>
      </c>
      <c r="B667" t="s">
        <v>56</v>
      </c>
      <c r="C667">
        <v>32</v>
      </c>
      <c r="D667" s="14">
        <f>VLOOKUP(Добавить1[[#This Row],[Товар]],$G$1:$H$14,2,0)*Добавить1[[#This Row],[количество_единиц_товара]]</f>
        <v>51200</v>
      </c>
      <c r="E667" t="s">
        <v>69</v>
      </c>
      <c r="F667" s="14" t="s">
        <v>95</v>
      </c>
    </row>
    <row r="668" spans="1:6" x14ac:dyDescent="0.3">
      <c r="A668" s="40">
        <v>44309.006631921293</v>
      </c>
      <c r="B668" t="s">
        <v>49</v>
      </c>
      <c r="C668">
        <v>24</v>
      </c>
      <c r="D668" s="14">
        <f>VLOOKUP(Добавить1[[#This Row],[Товар]],$G$1:$H$14,2,0)*Добавить1[[#This Row],[количество_единиц_товара]]</f>
        <v>74400</v>
      </c>
      <c r="E668" t="s">
        <v>69</v>
      </c>
      <c r="F668" s="14" t="s">
        <v>95</v>
      </c>
    </row>
    <row r="669" spans="1:6" x14ac:dyDescent="0.3">
      <c r="A669" s="40">
        <v>44317.330803495373</v>
      </c>
      <c r="B669" t="s">
        <v>61</v>
      </c>
      <c r="C669">
        <v>39</v>
      </c>
      <c r="D669" s="14">
        <f>VLOOKUP(Добавить1[[#This Row],[Товар]],$G$1:$H$14,2,0)*Добавить1[[#This Row],[количество_единиц_товара]]</f>
        <v>135330</v>
      </c>
      <c r="E669" t="s">
        <v>70</v>
      </c>
      <c r="F669" s="14" t="s">
        <v>95</v>
      </c>
    </row>
    <row r="670" spans="1:6" x14ac:dyDescent="0.3">
      <c r="A670" s="40">
        <v>44325.492143854164</v>
      </c>
      <c r="B670" t="s">
        <v>52</v>
      </c>
      <c r="C670">
        <v>29</v>
      </c>
      <c r="D670" s="14">
        <f>VLOOKUP(Добавить1[[#This Row],[Товар]],$G$1:$H$14,2,0)*Добавить1[[#This Row],[количество_единиц_товара]]</f>
        <v>19720</v>
      </c>
      <c r="E670" t="s">
        <v>69</v>
      </c>
      <c r="F670" s="14" t="s">
        <v>95</v>
      </c>
    </row>
    <row r="671" spans="1:6" x14ac:dyDescent="0.3">
      <c r="A671" s="40">
        <v>44347.964683379629</v>
      </c>
      <c r="B671" t="s">
        <v>56</v>
      </c>
      <c r="C671">
        <v>31</v>
      </c>
      <c r="D671" s="14">
        <f>VLOOKUP(Добавить1[[#This Row],[Товар]],$G$1:$H$14,2,0)*Добавить1[[#This Row],[количество_единиц_товара]]</f>
        <v>49600</v>
      </c>
      <c r="E671" t="s">
        <v>69</v>
      </c>
      <c r="F671" s="14" t="s">
        <v>95</v>
      </c>
    </row>
    <row r="672" spans="1:6" x14ac:dyDescent="0.3">
      <c r="A672" s="40">
        <v>44359.048262430559</v>
      </c>
      <c r="B672" t="s">
        <v>61</v>
      </c>
      <c r="C672">
        <v>24</v>
      </c>
      <c r="D672" s="14">
        <f>VLOOKUP(Добавить1[[#This Row],[Товар]],$G$1:$H$14,2,0)*Добавить1[[#This Row],[количество_единиц_товара]]</f>
        <v>83280</v>
      </c>
      <c r="E672" t="s">
        <v>70</v>
      </c>
      <c r="F672" s="14" t="s">
        <v>95</v>
      </c>
    </row>
    <row r="673" spans="1:6" x14ac:dyDescent="0.3">
      <c r="A673" s="40">
        <v>44368.761271134259</v>
      </c>
      <c r="B673" t="s">
        <v>50</v>
      </c>
      <c r="C673">
        <v>33</v>
      </c>
      <c r="D673" s="14">
        <f>VLOOKUP(Добавить1[[#This Row],[Товар]],$G$1:$H$14,2,0)*Добавить1[[#This Row],[количество_единиц_товара]]</f>
        <v>72600</v>
      </c>
      <c r="E673" t="s">
        <v>70</v>
      </c>
      <c r="F673" s="14" t="s">
        <v>95</v>
      </c>
    </row>
    <row r="674" spans="1:6" x14ac:dyDescent="0.3">
      <c r="A674" s="40">
        <v>44386.087288368057</v>
      </c>
      <c r="B674" t="s">
        <v>49</v>
      </c>
      <c r="C674">
        <v>28</v>
      </c>
      <c r="D674" s="14">
        <f>VLOOKUP(Добавить1[[#This Row],[Товар]],$G$1:$H$14,2,0)*Добавить1[[#This Row],[количество_единиц_товара]]</f>
        <v>86800</v>
      </c>
      <c r="E674" t="s">
        <v>70</v>
      </c>
      <c r="F674" s="14" t="s">
        <v>95</v>
      </c>
    </row>
    <row r="675" spans="1:6" x14ac:dyDescent="0.3">
      <c r="A675" s="40">
        <v>44400.996464293981</v>
      </c>
      <c r="B675" t="s">
        <v>59</v>
      </c>
      <c r="C675">
        <v>37</v>
      </c>
      <c r="D675" s="14">
        <f>VLOOKUP(Добавить1[[#This Row],[Товар]],$G$1:$H$14,2,0)*Добавить1[[#This Row],[количество_единиц_товара]]</f>
        <v>74000</v>
      </c>
      <c r="E675" t="s">
        <v>70</v>
      </c>
      <c r="F675" s="14" t="s">
        <v>95</v>
      </c>
    </row>
    <row r="676" spans="1:6" x14ac:dyDescent="0.3">
      <c r="A676" s="40">
        <v>44404.03064809028</v>
      </c>
      <c r="B676" t="s">
        <v>50</v>
      </c>
      <c r="C676">
        <v>21</v>
      </c>
      <c r="D676" s="14">
        <f>VLOOKUP(Добавить1[[#This Row],[Товар]],$G$1:$H$14,2,0)*Добавить1[[#This Row],[количество_единиц_товара]]</f>
        <v>46200</v>
      </c>
      <c r="E676" t="s">
        <v>70</v>
      </c>
      <c r="F676" s="14" t="s">
        <v>95</v>
      </c>
    </row>
    <row r="677" spans="1:6" x14ac:dyDescent="0.3">
      <c r="A677" s="40">
        <v>44411.314088657404</v>
      </c>
      <c r="B677" t="s">
        <v>52</v>
      </c>
      <c r="C677">
        <v>23</v>
      </c>
      <c r="D677" s="14">
        <f>VLOOKUP(Добавить1[[#This Row],[Товар]],$G$1:$H$14,2,0)*Добавить1[[#This Row],[количество_единиц_товара]]</f>
        <v>15640</v>
      </c>
      <c r="E677" t="s">
        <v>70</v>
      </c>
      <c r="F677" s="14" t="s">
        <v>95</v>
      </c>
    </row>
    <row r="678" spans="1:6" x14ac:dyDescent="0.3">
      <c r="A678" s="40">
        <v>44418.073134062499</v>
      </c>
      <c r="B678" t="s">
        <v>52</v>
      </c>
      <c r="C678">
        <v>31</v>
      </c>
      <c r="D678" s="14">
        <f>VLOOKUP(Добавить1[[#This Row],[Товар]],$G$1:$H$14,2,0)*Добавить1[[#This Row],[количество_единиц_товара]]</f>
        <v>21080</v>
      </c>
      <c r="E678" t="s">
        <v>70</v>
      </c>
      <c r="F678" s="14" t="s">
        <v>95</v>
      </c>
    </row>
    <row r="679" spans="1:6" x14ac:dyDescent="0.3">
      <c r="A679" s="40">
        <v>44421.820329826391</v>
      </c>
      <c r="B679" t="s">
        <v>61</v>
      </c>
      <c r="C679">
        <v>18</v>
      </c>
      <c r="D679" s="14">
        <f>VLOOKUP(Добавить1[[#This Row],[Товар]],$G$1:$H$14,2,0)*Добавить1[[#This Row],[количество_единиц_товара]]</f>
        <v>62460</v>
      </c>
      <c r="E679" t="s">
        <v>70</v>
      </c>
      <c r="F679" s="14" t="s">
        <v>95</v>
      </c>
    </row>
    <row r="680" spans="1:6" x14ac:dyDescent="0.3">
      <c r="A680" s="40">
        <v>44436.088904756944</v>
      </c>
      <c r="B680" t="s">
        <v>50</v>
      </c>
      <c r="C680">
        <v>11</v>
      </c>
      <c r="D680" s="14">
        <f>VLOOKUP(Добавить1[[#This Row],[Товар]],$G$1:$H$14,2,0)*Добавить1[[#This Row],[количество_единиц_товара]]</f>
        <v>24200</v>
      </c>
      <c r="E680" t="s">
        <v>70</v>
      </c>
      <c r="F680" s="14" t="s">
        <v>95</v>
      </c>
    </row>
    <row r="681" spans="1:6" x14ac:dyDescent="0.3">
      <c r="A681" s="44">
        <v>42386.496562696761</v>
      </c>
      <c r="B681" s="45" t="s">
        <v>59</v>
      </c>
      <c r="C681" s="45">
        <v>25</v>
      </c>
      <c r="D681" s="45">
        <f>VLOOKUP(Добавить1[[#This Row],[Товар]],$G$1:$H$14,2,0)*Добавить1[[#This Row],[количество_единиц_товара]]</f>
        <v>50000</v>
      </c>
      <c r="E681" s="45" t="s">
        <v>79</v>
      </c>
      <c r="F681" s="45" t="s">
        <v>96</v>
      </c>
    </row>
    <row r="682" spans="1:6" x14ac:dyDescent="0.3">
      <c r="A682" s="44">
        <v>42389.494366030092</v>
      </c>
      <c r="B682" s="45" t="s">
        <v>53</v>
      </c>
      <c r="C682" s="45">
        <v>11</v>
      </c>
      <c r="D682" s="45">
        <f>VLOOKUP(Добавить1[[#This Row],[Товар]],$G$1:$H$14,2,0)*Добавить1[[#This Row],[количество_единиц_товара]]</f>
        <v>19668</v>
      </c>
      <c r="E682" s="45" t="s">
        <v>80</v>
      </c>
      <c r="F682" s="45" t="s">
        <v>96</v>
      </c>
    </row>
    <row r="683" spans="1:6" x14ac:dyDescent="0.3">
      <c r="A683" s="44">
        <v>42390.648076747682</v>
      </c>
      <c r="B683" s="45" t="s">
        <v>51</v>
      </c>
      <c r="C683" s="45">
        <v>18</v>
      </c>
      <c r="D683" s="45">
        <f>VLOOKUP(Добавить1[[#This Row],[Товар]],$G$1:$H$14,2,0)*Добавить1[[#This Row],[количество_единиц_товара]]</f>
        <v>46080</v>
      </c>
      <c r="E683" s="45" t="s">
        <v>81</v>
      </c>
      <c r="F683" s="45" t="s">
        <v>96</v>
      </c>
    </row>
    <row r="684" spans="1:6" x14ac:dyDescent="0.3">
      <c r="A684" s="44">
        <v>42400.337457870373</v>
      </c>
      <c r="B684" s="45" t="s">
        <v>50</v>
      </c>
      <c r="C684" s="45">
        <v>38</v>
      </c>
      <c r="D684" s="45">
        <f>VLOOKUP(Добавить1[[#This Row],[Товар]],$G$1:$H$14,2,0)*Добавить1[[#This Row],[количество_единиц_товара]]</f>
        <v>83600</v>
      </c>
      <c r="E684" s="45" t="s">
        <v>80</v>
      </c>
      <c r="F684" s="45" t="s">
        <v>96</v>
      </c>
    </row>
    <row r="685" spans="1:6" x14ac:dyDescent="0.3">
      <c r="A685" s="44">
        <v>42423.845303622686</v>
      </c>
      <c r="B685" s="45" t="s">
        <v>60</v>
      </c>
      <c r="C685" s="45">
        <v>29</v>
      </c>
      <c r="D685" s="45">
        <f>VLOOKUP(Добавить1[[#This Row],[Товар]],$G$1:$H$14,2,0)*Добавить1[[#This Row],[количество_единиц_товара]]</f>
        <v>167881</v>
      </c>
      <c r="E685" s="45" t="s">
        <v>81</v>
      </c>
      <c r="F685" s="45" t="s">
        <v>96</v>
      </c>
    </row>
    <row r="686" spans="1:6" x14ac:dyDescent="0.3">
      <c r="A686" s="44">
        <v>42435.165003310183</v>
      </c>
      <c r="B686" s="45" t="s">
        <v>51</v>
      </c>
      <c r="C686" s="45">
        <v>25</v>
      </c>
      <c r="D686" s="45">
        <f>VLOOKUP(Добавить1[[#This Row],[Товар]],$G$1:$H$14,2,0)*Добавить1[[#This Row],[количество_единиц_товара]]</f>
        <v>64000</v>
      </c>
      <c r="E686" s="45" t="s">
        <v>80</v>
      </c>
      <c r="F686" s="45" t="s">
        <v>96</v>
      </c>
    </row>
    <row r="687" spans="1:6" x14ac:dyDescent="0.3">
      <c r="A687" s="44">
        <v>42456.288040312502</v>
      </c>
      <c r="B687" s="45" t="s">
        <v>57</v>
      </c>
      <c r="C687" s="45">
        <v>35</v>
      </c>
      <c r="D687" s="45">
        <f>VLOOKUP(Добавить1[[#This Row],[Товар]],$G$1:$H$14,2,0)*Добавить1[[#This Row],[количество_единиц_товара]]</f>
        <v>132860</v>
      </c>
      <c r="E687" s="45" t="s">
        <v>80</v>
      </c>
      <c r="F687" s="45" t="s">
        <v>96</v>
      </c>
    </row>
    <row r="688" spans="1:6" x14ac:dyDescent="0.3">
      <c r="A688" s="44">
        <v>42474.675003993056</v>
      </c>
      <c r="B688" s="45" t="s">
        <v>52</v>
      </c>
      <c r="C688" s="45">
        <v>30</v>
      </c>
      <c r="D688" s="45">
        <f>VLOOKUP(Добавить1[[#This Row],[Товар]],$G$1:$H$14,2,0)*Добавить1[[#This Row],[количество_единиц_товара]]</f>
        <v>20400</v>
      </c>
      <c r="E688" s="45" t="s">
        <v>79</v>
      </c>
      <c r="F688" s="45" t="s">
        <v>96</v>
      </c>
    </row>
    <row r="689" spans="1:6" x14ac:dyDescent="0.3">
      <c r="A689" s="44">
        <v>42490.470734826391</v>
      </c>
      <c r="B689" s="45" t="s">
        <v>61</v>
      </c>
      <c r="C689" s="45">
        <v>21</v>
      </c>
      <c r="D689" s="45">
        <f>VLOOKUP(Добавить1[[#This Row],[Товар]],$G$1:$H$14,2,0)*Добавить1[[#This Row],[количество_единиц_товара]]</f>
        <v>72870</v>
      </c>
      <c r="E689" s="45" t="s">
        <v>80</v>
      </c>
      <c r="F689" s="45" t="s">
        <v>96</v>
      </c>
    </row>
    <row r="690" spans="1:6" x14ac:dyDescent="0.3">
      <c r="A690" s="44">
        <v>42496.19849490741</v>
      </c>
      <c r="B690" s="45" t="s">
        <v>50</v>
      </c>
      <c r="C690" s="45">
        <v>34</v>
      </c>
      <c r="D690" s="45">
        <f>VLOOKUP(Добавить1[[#This Row],[Товар]],$G$1:$H$14,2,0)*Добавить1[[#This Row],[количество_единиц_товара]]</f>
        <v>74800</v>
      </c>
      <c r="E690" s="45" t="s">
        <v>79</v>
      </c>
      <c r="F690" s="45" t="s">
        <v>96</v>
      </c>
    </row>
    <row r="691" spans="1:6" x14ac:dyDescent="0.3">
      <c r="A691" s="44">
        <v>42497.076318877313</v>
      </c>
      <c r="B691" s="45" t="s">
        <v>58</v>
      </c>
      <c r="C691" s="45">
        <v>20</v>
      </c>
      <c r="D691" s="45">
        <f>VLOOKUP(Добавить1[[#This Row],[Товар]],$G$1:$H$14,2,0)*Добавить1[[#This Row],[количество_единиц_товара]]</f>
        <v>89100</v>
      </c>
      <c r="E691" s="45" t="s">
        <v>79</v>
      </c>
      <c r="F691" s="45" t="s">
        <v>96</v>
      </c>
    </row>
    <row r="692" spans="1:6" x14ac:dyDescent="0.3">
      <c r="A692" s="44">
        <v>42515.362519189817</v>
      </c>
      <c r="B692" s="45" t="s">
        <v>55</v>
      </c>
      <c r="C692" s="45">
        <v>33</v>
      </c>
      <c r="D692" s="45">
        <f>VLOOKUP(Добавить1[[#This Row],[Товар]],$G$1:$H$14,2,0)*Добавить1[[#This Row],[количество_единиц_товара]]</f>
        <v>148500</v>
      </c>
      <c r="E692" s="45" t="s">
        <v>79</v>
      </c>
      <c r="F692" s="45" t="s">
        <v>96</v>
      </c>
    </row>
    <row r="693" spans="1:6" x14ac:dyDescent="0.3">
      <c r="A693" s="44">
        <v>42515.555511736115</v>
      </c>
      <c r="B693" s="45" t="s">
        <v>56</v>
      </c>
      <c r="C693" s="45">
        <v>26</v>
      </c>
      <c r="D693" s="45">
        <f>VLOOKUP(Добавить1[[#This Row],[Товар]],$G$1:$H$14,2,0)*Добавить1[[#This Row],[количество_единиц_товара]]</f>
        <v>41600</v>
      </c>
      <c r="E693" s="45" t="s">
        <v>79</v>
      </c>
      <c r="F693" s="45" t="s">
        <v>96</v>
      </c>
    </row>
    <row r="694" spans="1:6" x14ac:dyDescent="0.3">
      <c r="A694" s="44">
        <v>42524.232749861112</v>
      </c>
      <c r="B694" s="45" t="s">
        <v>49</v>
      </c>
      <c r="C694" s="45">
        <v>18</v>
      </c>
      <c r="D694" s="45">
        <f>VLOOKUP(Добавить1[[#This Row],[Товар]],$G$1:$H$14,2,0)*Добавить1[[#This Row],[количество_единиц_товара]]</f>
        <v>55800</v>
      </c>
      <c r="E694" s="45" t="s">
        <v>81</v>
      </c>
      <c r="F694" s="45" t="s">
        <v>96</v>
      </c>
    </row>
    <row r="695" spans="1:6" x14ac:dyDescent="0.3">
      <c r="A695" s="44">
        <v>42528.369120613424</v>
      </c>
      <c r="B695" s="45" t="s">
        <v>56</v>
      </c>
      <c r="C695" s="45">
        <v>32</v>
      </c>
      <c r="D695" s="45">
        <f>VLOOKUP(Добавить1[[#This Row],[Товар]],$G$1:$H$14,2,0)*Добавить1[[#This Row],[количество_единиц_товара]]</f>
        <v>51200</v>
      </c>
      <c r="E695" s="45" t="s">
        <v>81</v>
      </c>
      <c r="F695" s="45" t="s">
        <v>96</v>
      </c>
    </row>
    <row r="696" spans="1:6" x14ac:dyDescent="0.3">
      <c r="A696" s="44">
        <v>42545.247661643516</v>
      </c>
      <c r="B696" s="45" t="s">
        <v>60</v>
      </c>
      <c r="C696" s="45">
        <v>14</v>
      </c>
      <c r="D696" s="45">
        <f>VLOOKUP(Добавить1[[#This Row],[Товар]],$G$1:$H$14,2,0)*Добавить1[[#This Row],[количество_единиц_товара]]</f>
        <v>81046</v>
      </c>
      <c r="E696" s="45" t="s">
        <v>81</v>
      </c>
      <c r="F696" s="45" t="s">
        <v>96</v>
      </c>
    </row>
    <row r="697" spans="1:6" x14ac:dyDescent="0.3">
      <c r="A697" s="44">
        <v>42564.928523159724</v>
      </c>
      <c r="B697" s="45" t="s">
        <v>49</v>
      </c>
      <c r="C697" s="45">
        <v>13</v>
      </c>
      <c r="D697" s="45">
        <f>VLOOKUP(Добавить1[[#This Row],[Товар]],$G$1:$H$14,2,0)*Добавить1[[#This Row],[количество_единиц_товара]]</f>
        <v>40300</v>
      </c>
      <c r="E697" s="45" t="s">
        <v>81</v>
      </c>
      <c r="F697" s="45" t="s">
        <v>96</v>
      </c>
    </row>
    <row r="698" spans="1:6" x14ac:dyDescent="0.3">
      <c r="A698" s="44">
        <v>42575.02342287037</v>
      </c>
      <c r="B698" s="45" t="s">
        <v>50</v>
      </c>
      <c r="C698" s="45">
        <v>35</v>
      </c>
      <c r="D698" s="45">
        <f>VLOOKUP(Добавить1[[#This Row],[Товар]],$G$1:$H$14,2,0)*Добавить1[[#This Row],[количество_единиц_товара]]</f>
        <v>77000</v>
      </c>
      <c r="E698" s="45" t="s">
        <v>79</v>
      </c>
      <c r="F698" s="45" t="s">
        <v>96</v>
      </c>
    </row>
    <row r="699" spans="1:6" x14ac:dyDescent="0.3">
      <c r="A699" s="44">
        <v>42576.771311585646</v>
      </c>
      <c r="B699" s="45" t="s">
        <v>52</v>
      </c>
      <c r="C699" s="45">
        <v>27</v>
      </c>
      <c r="D699" s="45">
        <f>VLOOKUP(Добавить1[[#This Row],[Товар]],$G$1:$H$14,2,0)*Добавить1[[#This Row],[количество_единиц_товара]]</f>
        <v>18360</v>
      </c>
      <c r="E699" s="45" t="s">
        <v>79</v>
      </c>
      <c r="F699" s="45" t="s">
        <v>96</v>
      </c>
    </row>
    <row r="700" spans="1:6" x14ac:dyDescent="0.3">
      <c r="A700" s="44">
        <v>42589.100414409724</v>
      </c>
      <c r="B700" s="45" t="s">
        <v>50</v>
      </c>
      <c r="C700" s="45">
        <v>13</v>
      </c>
      <c r="D700" s="45">
        <f>VLOOKUP(Добавить1[[#This Row],[Товар]],$G$1:$H$14,2,0)*Добавить1[[#This Row],[количество_единиц_товара]]</f>
        <v>28600</v>
      </c>
      <c r="E700" s="45" t="s">
        <v>80</v>
      </c>
      <c r="F700" s="45" t="s">
        <v>96</v>
      </c>
    </row>
    <row r="701" spans="1:6" x14ac:dyDescent="0.3">
      <c r="A701" s="44">
        <v>42597.859934733795</v>
      </c>
      <c r="B701" s="45" t="s">
        <v>49</v>
      </c>
      <c r="C701" s="45">
        <v>13</v>
      </c>
      <c r="D701" s="45">
        <f>VLOOKUP(Добавить1[[#This Row],[Товар]],$G$1:$H$14,2,0)*Добавить1[[#This Row],[количество_единиц_товара]]</f>
        <v>40300</v>
      </c>
      <c r="E701" s="45" t="s">
        <v>81</v>
      </c>
      <c r="F701" s="45" t="s">
        <v>96</v>
      </c>
    </row>
    <row r="702" spans="1:6" x14ac:dyDescent="0.3">
      <c r="A702" s="44">
        <v>42601.460974456022</v>
      </c>
      <c r="B702" s="45" t="s">
        <v>60</v>
      </c>
      <c r="C702" s="45">
        <v>36</v>
      </c>
      <c r="D702" s="45">
        <f>VLOOKUP(Добавить1[[#This Row],[Товар]],$G$1:$H$14,2,0)*Добавить1[[#This Row],[количество_единиц_товара]]</f>
        <v>208404</v>
      </c>
      <c r="E702" s="45" t="s">
        <v>81</v>
      </c>
      <c r="F702" s="45" t="s">
        <v>96</v>
      </c>
    </row>
    <row r="703" spans="1:6" x14ac:dyDescent="0.3">
      <c r="A703" s="44">
        <v>42607.014577615744</v>
      </c>
      <c r="B703" s="45" t="s">
        <v>54</v>
      </c>
      <c r="C703" s="45">
        <v>21</v>
      </c>
      <c r="D703" s="45">
        <f>VLOOKUP(Добавить1[[#This Row],[Товар]],$G$1:$H$14,2,0)*Добавить1[[#This Row],[количество_единиц_товара]]</f>
        <v>51450</v>
      </c>
      <c r="E703" s="45" t="s">
        <v>79</v>
      </c>
      <c r="F703" s="45" t="s">
        <v>96</v>
      </c>
    </row>
    <row r="704" spans="1:6" x14ac:dyDescent="0.3">
      <c r="A704" s="44">
        <v>42618.395399525463</v>
      </c>
      <c r="B704" s="45" t="s">
        <v>59</v>
      </c>
      <c r="C704" s="45">
        <v>20</v>
      </c>
      <c r="D704" s="45">
        <f>VLOOKUP(Добавить1[[#This Row],[Товар]],$G$1:$H$14,2,0)*Добавить1[[#This Row],[количество_единиц_товара]]</f>
        <v>40000</v>
      </c>
      <c r="E704" s="45" t="s">
        <v>79</v>
      </c>
      <c r="F704" s="45" t="s">
        <v>96</v>
      </c>
    </row>
    <row r="705" spans="1:6" x14ac:dyDescent="0.3">
      <c r="A705" s="44">
        <v>42639.924336898148</v>
      </c>
      <c r="B705" s="45" t="s">
        <v>61</v>
      </c>
      <c r="C705" s="45">
        <v>32</v>
      </c>
      <c r="D705" s="45">
        <f>VLOOKUP(Добавить1[[#This Row],[Товар]],$G$1:$H$14,2,0)*Добавить1[[#This Row],[количество_единиц_товара]]</f>
        <v>111040</v>
      </c>
      <c r="E705" s="45" t="s">
        <v>80</v>
      </c>
      <c r="F705" s="45" t="s">
        <v>96</v>
      </c>
    </row>
    <row r="706" spans="1:6" x14ac:dyDescent="0.3">
      <c r="A706" s="44">
        <v>42658.777932060184</v>
      </c>
      <c r="B706" s="45" t="s">
        <v>59</v>
      </c>
      <c r="C706" s="45">
        <v>35</v>
      </c>
      <c r="D706" s="45">
        <f>VLOOKUP(Добавить1[[#This Row],[Товар]],$G$1:$H$14,2,0)*Добавить1[[#This Row],[количество_единиц_товара]]</f>
        <v>70000</v>
      </c>
      <c r="E706" s="45" t="s">
        <v>81</v>
      </c>
      <c r="F706" s="45" t="s">
        <v>96</v>
      </c>
    </row>
    <row r="707" spans="1:6" x14ac:dyDescent="0.3">
      <c r="A707" s="44">
        <v>42659.164022002318</v>
      </c>
      <c r="B707" s="45" t="s">
        <v>51</v>
      </c>
      <c r="C707" s="45">
        <v>33</v>
      </c>
      <c r="D707" s="45">
        <f>VLOOKUP(Добавить1[[#This Row],[Товар]],$G$1:$H$14,2,0)*Добавить1[[#This Row],[количество_единиц_товара]]</f>
        <v>84480</v>
      </c>
      <c r="E707" s="45" t="s">
        <v>80</v>
      </c>
      <c r="F707" s="45" t="s">
        <v>96</v>
      </c>
    </row>
    <row r="708" spans="1:6" x14ac:dyDescent="0.3">
      <c r="A708" s="44">
        <v>42665.665978541663</v>
      </c>
      <c r="B708" s="45" t="s">
        <v>61</v>
      </c>
      <c r="C708" s="45">
        <v>29</v>
      </c>
      <c r="D708" s="45">
        <f>VLOOKUP(Добавить1[[#This Row],[Товар]],$G$1:$H$14,2,0)*Добавить1[[#This Row],[количество_единиц_товара]]</f>
        <v>100630</v>
      </c>
      <c r="E708" s="45" t="s">
        <v>80</v>
      </c>
      <c r="F708" s="45" t="s">
        <v>96</v>
      </c>
    </row>
    <row r="709" spans="1:6" x14ac:dyDescent="0.3">
      <c r="A709" s="44">
        <v>42667.670889976849</v>
      </c>
      <c r="B709" s="45" t="s">
        <v>52</v>
      </c>
      <c r="C709" s="45">
        <v>29</v>
      </c>
      <c r="D709" s="45">
        <f>VLOOKUP(Добавить1[[#This Row],[Товар]],$G$1:$H$14,2,0)*Добавить1[[#This Row],[количество_единиц_товара]]</f>
        <v>19720</v>
      </c>
      <c r="E709" s="45" t="s">
        <v>79</v>
      </c>
      <c r="F709" s="45" t="s">
        <v>96</v>
      </c>
    </row>
    <row r="710" spans="1:6" x14ac:dyDescent="0.3">
      <c r="A710" s="44">
        <v>42678.821887395832</v>
      </c>
      <c r="B710" s="45" t="s">
        <v>54</v>
      </c>
      <c r="C710" s="45">
        <v>14</v>
      </c>
      <c r="D710" s="45">
        <f>VLOOKUP(Добавить1[[#This Row],[Товар]],$G$1:$H$14,2,0)*Добавить1[[#This Row],[количество_единиц_товара]]</f>
        <v>34300</v>
      </c>
      <c r="E710" s="45" t="s">
        <v>81</v>
      </c>
      <c r="F710" s="45" t="s">
        <v>96</v>
      </c>
    </row>
    <row r="711" spans="1:6" x14ac:dyDescent="0.3">
      <c r="A711" s="44">
        <v>42685.015121192133</v>
      </c>
      <c r="B711" s="45" t="s">
        <v>59</v>
      </c>
      <c r="C711" s="45">
        <v>18</v>
      </c>
      <c r="D711" s="45">
        <f>VLOOKUP(Добавить1[[#This Row],[Товар]],$G$1:$H$14,2,0)*Добавить1[[#This Row],[количество_единиц_товара]]</f>
        <v>36000</v>
      </c>
      <c r="E711" s="45" t="s">
        <v>81</v>
      </c>
      <c r="F711" s="45" t="s">
        <v>96</v>
      </c>
    </row>
    <row r="712" spans="1:6" x14ac:dyDescent="0.3">
      <c r="A712" s="44">
        <v>42687.90912261574</v>
      </c>
      <c r="B712" s="45" t="s">
        <v>60</v>
      </c>
      <c r="C712" s="45">
        <v>14</v>
      </c>
      <c r="D712" s="45">
        <f>VLOOKUP(Добавить1[[#This Row],[Товар]],$G$1:$H$14,2,0)*Добавить1[[#This Row],[количество_единиц_товара]]</f>
        <v>81046</v>
      </c>
      <c r="E712" s="45" t="s">
        <v>81</v>
      </c>
      <c r="F712" s="45" t="s">
        <v>96</v>
      </c>
    </row>
    <row r="713" spans="1:6" x14ac:dyDescent="0.3">
      <c r="A713" s="44">
        <v>42692.113188333336</v>
      </c>
      <c r="B713" s="45" t="s">
        <v>51</v>
      </c>
      <c r="C713" s="45">
        <v>11</v>
      </c>
      <c r="D713" s="45">
        <f>VLOOKUP(Добавить1[[#This Row],[Товар]],$G$1:$H$14,2,0)*Добавить1[[#This Row],[количество_единиц_товара]]</f>
        <v>28160</v>
      </c>
      <c r="E713" s="45" t="s">
        <v>81</v>
      </c>
      <c r="F713" s="45" t="s">
        <v>96</v>
      </c>
    </row>
    <row r="714" spans="1:6" x14ac:dyDescent="0.3">
      <c r="A714" s="44">
        <v>42716.816704606485</v>
      </c>
      <c r="B714" s="45" t="s">
        <v>51</v>
      </c>
      <c r="C714" s="45">
        <v>26</v>
      </c>
      <c r="D714" s="45">
        <f>VLOOKUP(Добавить1[[#This Row],[Товар]],$G$1:$H$14,2,0)*Добавить1[[#This Row],[количество_единиц_товара]]</f>
        <v>66560</v>
      </c>
      <c r="E714" s="45" t="s">
        <v>81</v>
      </c>
      <c r="F714" s="45" t="s">
        <v>96</v>
      </c>
    </row>
    <row r="715" spans="1:6" x14ac:dyDescent="0.3">
      <c r="A715" s="44">
        <v>42718.366106365742</v>
      </c>
      <c r="B715" s="45" t="s">
        <v>53</v>
      </c>
      <c r="C715" s="45">
        <v>21</v>
      </c>
      <c r="D715" s="45">
        <f>VLOOKUP(Добавить1[[#This Row],[Товар]],$G$1:$H$14,2,0)*Добавить1[[#This Row],[количество_единиц_товара]]</f>
        <v>37548</v>
      </c>
      <c r="E715" s="45" t="s">
        <v>79</v>
      </c>
      <c r="F715" s="45" t="s">
        <v>96</v>
      </c>
    </row>
    <row r="716" spans="1:6" x14ac:dyDescent="0.3">
      <c r="A716" s="44">
        <v>42736.95819020833</v>
      </c>
      <c r="B716" s="45" t="s">
        <v>49</v>
      </c>
      <c r="C716" s="45">
        <v>24</v>
      </c>
      <c r="D716" s="45">
        <f>VLOOKUP(Добавить1[[#This Row],[Товар]],$G$1:$H$14,2,0)*Добавить1[[#This Row],[количество_единиц_товара]]</f>
        <v>74400</v>
      </c>
      <c r="E716" s="45" t="s">
        <v>79</v>
      </c>
      <c r="F716" s="45" t="s">
        <v>96</v>
      </c>
    </row>
    <row r="717" spans="1:6" x14ac:dyDescent="0.3">
      <c r="A717" s="44">
        <v>42743.493907488424</v>
      </c>
      <c r="B717" s="45" t="s">
        <v>51</v>
      </c>
      <c r="C717" s="45">
        <v>19</v>
      </c>
      <c r="D717" s="45">
        <f>VLOOKUP(Добавить1[[#This Row],[Товар]],$G$1:$H$14,2,0)*Добавить1[[#This Row],[количество_единиц_товара]]</f>
        <v>48640</v>
      </c>
      <c r="E717" s="45" t="s">
        <v>79</v>
      </c>
      <c r="F717" s="45" t="s">
        <v>96</v>
      </c>
    </row>
    <row r="718" spans="1:6" x14ac:dyDescent="0.3">
      <c r="A718" s="44">
        <v>42763.087618217593</v>
      </c>
      <c r="B718" s="45" t="s">
        <v>54</v>
      </c>
      <c r="C718" s="45">
        <v>36</v>
      </c>
      <c r="D718" s="45">
        <f>VLOOKUP(Добавить1[[#This Row],[Товар]],$G$1:$H$14,2,0)*Добавить1[[#This Row],[количество_единиц_товара]]</f>
        <v>88200</v>
      </c>
      <c r="E718" s="45" t="s">
        <v>80</v>
      </c>
      <c r="F718" s="45" t="s">
        <v>96</v>
      </c>
    </row>
    <row r="719" spans="1:6" x14ac:dyDescent="0.3">
      <c r="A719" s="44">
        <v>42766.874845914354</v>
      </c>
      <c r="B719" s="45" t="s">
        <v>61</v>
      </c>
      <c r="C719" s="45">
        <v>28</v>
      </c>
      <c r="D719" s="45">
        <f>VLOOKUP(Добавить1[[#This Row],[Товар]],$G$1:$H$14,2,0)*Добавить1[[#This Row],[количество_единиц_товара]]</f>
        <v>97160</v>
      </c>
      <c r="E719" s="45" t="s">
        <v>81</v>
      </c>
      <c r="F719" s="45" t="s">
        <v>96</v>
      </c>
    </row>
    <row r="720" spans="1:6" x14ac:dyDescent="0.3">
      <c r="A720" s="44">
        <v>42777.036817372682</v>
      </c>
      <c r="B720" s="45" t="s">
        <v>52</v>
      </c>
      <c r="C720" s="45">
        <v>40</v>
      </c>
      <c r="D720" s="45">
        <f>VLOOKUP(Добавить1[[#This Row],[Товар]],$G$1:$H$14,2,0)*Добавить1[[#This Row],[количество_единиц_товара]]</f>
        <v>27200</v>
      </c>
      <c r="E720" s="45" t="s">
        <v>79</v>
      </c>
      <c r="F720" s="45" t="s">
        <v>96</v>
      </c>
    </row>
    <row r="721" spans="1:6" x14ac:dyDescent="0.3">
      <c r="A721" s="44">
        <v>42778.891987430557</v>
      </c>
      <c r="B721" s="45" t="s">
        <v>52</v>
      </c>
      <c r="C721" s="45">
        <v>22</v>
      </c>
      <c r="D721" s="45">
        <f>VLOOKUP(Добавить1[[#This Row],[Товар]],$G$1:$H$14,2,0)*Добавить1[[#This Row],[количество_единиц_товара]]</f>
        <v>14960</v>
      </c>
      <c r="E721" s="45" t="s">
        <v>79</v>
      </c>
      <c r="F721" s="45" t="s">
        <v>96</v>
      </c>
    </row>
    <row r="722" spans="1:6" x14ac:dyDescent="0.3">
      <c r="A722" s="44">
        <v>42782.312624872684</v>
      </c>
      <c r="B722" s="45" t="s">
        <v>56</v>
      </c>
      <c r="C722" s="45">
        <v>12</v>
      </c>
      <c r="D722" s="45">
        <f>VLOOKUP(Добавить1[[#This Row],[Товар]],$G$1:$H$14,2,0)*Добавить1[[#This Row],[количество_единиц_товара]]</f>
        <v>19200</v>
      </c>
      <c r="E722" s="45" t="s">
        <v>79</v>
      </c>
      <c r="F722" s="45" t="s">
        <v>96</v>
      </c>
    </row>
    <row r="723" spans="1:6" x14ac:dyDescent="0.3">
      <c r="A723" s="44">
        <v>42786.300466990739</v>
      </c>
      <c r="B723" s="45" t="s">
        <v>57</v>
      </c>
      <c r="C723" s="45">
        <v>21</v>
      </c>
      <c r="D723" s="45">
        <f>VLOOKUP(Добавить1[[#This Row],[Товар]],$G$1:$H$14,2,0)*Добавить1[[#This Row],[количество_единиц_товара]]</f>
        <v>79716</v>
      </c>
      <c r="E723" s="45" t="s">
        <v>81</v>
      </c>
      <c r="F723" s="45" t="s">
        <v>96</v>
      </c>
    </row>
    <row r="724" spans="1:6" x14ac:dyDescent="0.3">
      <c r="A724" s="44">
        <v>42793.627321319444</v>
      </c>
      <c r="B724" s="45" t="s">
        <v>52</v>
      </c>
      <c r="C724" s="45">
        <v>24</v>
      </c>
      <c r="D724" s="45">
        <f>VLOOKUP(Добавить1[[#This Row],[Товар]],$G$1:$H$14,2,0)*Добавить1[[#This Row],[количество_единиц_товара]]</f>
        <v>16320</v>
      </c>
      <c r="E724" s="45" t="s">
        <v>80</v>
      </c>
      <c r="F724" s="45" t="s">
        <v>96</v>
      </c>
    </row>
    <row r="725" spans="1:6" x14ac:dyDescent="0.3">
      <c r="A725" s="44">
        <v>42796.259298124998</v>
      </c>
      <c r="B725" s="45" t="s">
        <v>51</v>
      </c>
      <c r="C725" s="45">
        <v>24</v>
      </c>
      <c r="D725" s="45">
        <f>VLOOKUP(Добавить1[[#This Row],[Товар]],$G$1:$H$14,2,0)*Добавить1[[#This Row],[количество_единиц_товара]]</f>
        <v>61440</v>
      </c>
      <c r="E725" s="45" t="s">
        <v>80</v>
      </c>
      <c r="F725" s="45" t="s">
        <v>96</v>
      </c>
    </row>
    <row r="726" spans="1:6" x14ac:dyDescent="0.3">
      <c r="A726" s="44">
        <v>42807.75578136574</v>
      </c>
      <c r="B726" s="45" t="s">
        <v>51</v>
      </c>
      <c r="C726" s="45">
        <v>34</v>
      </c>
      <c r="D726" s="45">
        <f>VLOOKUP(Добавить1[[#This Row],[Товар]],$G$1:$H$14,2,0)*Добавить1[[#This Row],[количество_единиц_товара]]</f>
        <v>87040</v>
      </c>
      <c r="E726" s="45" t="s">
        <v>81</v>
      </c>
      <c r="F726" s="45" t="s">
        <v>96</v>
      </c>
    </row>
    <row r="727" spans="1:6" x14ac:dyDescent="0.3">
      <c r="A727" s="44">
        <v>42811.089709178239</v>
      </c>
      <c r="B727" s="45" t="s">
        <v>59</v>
      </c>
      <c r="C727" s="45">
        <v>40</v>
      </c>
      <c r="D727" s="45">
        <f>VLOOKUP(Добавить1[[#This Row],[Товар]],$G$1:$H$14,2,0)*Добавить1[[#This Row],[количество_единиц_товара]]</f>
        <v>80000</v>
      </c>
      <c r="E727" s="45" t="s">
        <v>79</v>
      </c>
      <c r="F727" s="45" t="s">
        <v>96</v>
      </c>
    </row>
    <row r="728" spans="1:6" x14ac:dyDescent="0.3">
      <c r="A728" s="44">
        <v>42823.964082905091</v>
      </c>
      <c r="B728" s="45" t="s">
        <v>59</v>
      </c>
      <c r="C728" s="45">
        <v>14</v>
      </c>
      <c r="D728" s="45">
        <f>VLOOKUP(Добавить1[[#This Row],[Товар]],$G$1:$H$14,2,0)*Добавить1[[#This Row],[количество_единиц_товара]]</f>
        <v>28000</v>
      </c>
      <c r="E728" s="45" t="s">
        <v>81</v>
      </c>
      <c r="F728" s="45" t="s">
        <v>96</v>
      </c>
    </row>
    <row r="729" spans="1:6" x14ac:dyDescent="0.3">
      <c r="A729" s="44">
        <v>42838.10443068287</v>
      </c>
      <c r="B729" s="45" t="s">
        <v>59</v>
      </c>
      <c r="C729" s="45">
        <v>31</v>
      </c>
      <c r="D729" s="45">
        <f>VLOOKUP(Добавить1[[#This Row],[Товар]],$G$1:$H$14,2,0)*Добавить1[[#This Row],[количество_единиц_товара]]</f>
        <v>62000</v>
      </c>
      <c r="E729" s="45" t="s">
        <v>80</v>
      </c>
      <c r="F729" s="45" t="s">
        <v>96</v>
      </c>
    </row>
    <row r="730" spans="1:6" x14ac:dyDescent="0.3">
      <c r="A730" s="44">
        <v>42838.791273206021</v>
      </c>
      <c r="B730" s="45" t="s">
        <v>51</v>
      </c>
      <c r="C730" s="45">
        <v>21</v>
      </c>
      <c r="D730" s="45">
        <f>VLOOKUP(Добавить1[[#This Row],[Товар]],$G$1:$H$14,2,0)*Добавить1[[#This Row],[количество_единиц_товара]]</f>
        <v>53760</v>
      </c>
      <c r="E730" s="45" t="s">
        <v>79</v>
      </c>
      <c r="F730" s="45" t="s">
        <v>96</v>
      </c>
    </row>
    <row r="731" spans="1:6" x14ac:dyDescent="0.3">
      <c r="A731" s="44">
        <v>42840.773482407407</v>
      </c>
      <c r="B731" s="45" t="s">
        <v>59</v>
      </c>
      <c r="C731" s="45">
        <v>23</v>
      </c>
      <c r="D731" s="45">
        <f>VLOOKUP(Добавить1[[#This Row],[Товар]],$G$1:$H$14,2,0)*Добавить1[[#This Row],[количество_единиц_товара]]</f>
        <v>46000</v>
      </c>
      <c r="E731" s="45" t="s">
        <v>80</v>
      </c>
      <c r="F731" s="45" t="s">
        <v>96</v>
      </c>
    </row>
    <row r="732" spans="1:6" x14ac:dyDescent="0.3">
      <c r="A732" s="44">
        <v>42850.476000752315</v>
      </c>
      <c r="B732" s="45" t="s">
        <v>49</v>
      </c>
      <c r="C732" s="45">
        <v>37</v>
      </c>
      <c r="D732" s="45">
        <f>VLOOKUP(Добавить1[[#This Row],[Товар]],$G$1:$H$14,2,0)*Добавить1[[#This Row],[количество_единиц_товара]]</f>
        <v>114700</v>
      </c>
      <c r="E732" s="45" t="s">
        <v>79</v>
      </c>
      <c r="F732" s="45" t="s">
        <v>96</v>
      </c>
    </row>
    <row r="733" spans="1:6" x14ac:dyDescent="0.3">
      <c r="A733" s="44">
        <v>42852.341392037037</v>
      </c>
      <c r="B733" s="45" t="s">
        <v>52</v>
      </c>
      <c r="C733" s="45">
        <v>24</v>
      </c>
      <c r="D733" s="45">
        <f>VLOOKUP(Добавить1[[#This Row],[Товар]],$G$1:$H$14,2,0)*Добавить1[[#This Row],[количество_единиц_товара]]</f>
        <v>16320</v>
      </c>
      <c r="E733" s="45" t="s">
        <v>81</v>
      </c>
      <c r="F733" s="45" t="s">
        <v>96</v>
      </c>
    </row>
    <row r="734" spans="1:6" x14ac:dyDescent="0.3">
      <c r="A734" s="44">
        <v>42869.691286064815</v>
      </c>
      <c r="B734" s="45" t="s">
        <v>57</v>
      </c>
      <c r="C734" s="45">
        <v>20</v>
      </c>
      <c r="D734" s="45">
        <f>VLOOKUP(Добавить1[[#This Row],[Товар]],$G$1:$H$14,2,0)*Добавить1[[#This Row],[количество_единиц_товара]]</f>
        <v>75920</v>
      </c>
      <c r="E734" s="45" t="s">
        <v>79</v>
      </c>
      <c r="F734" s="45" t="s">
        <v>96</v>
      </c>
    </row>
    <row r="735" spans="1:6" x14ac:dyDescent="0.3">
      <c r="A735" s="44">
        <v>42892.095977777775</v>
      </c>
      <c r="B735" s="45" t="s">
        <v>51</v>
      </c>
      <c r="C735" s="45">
        <v>20</v>
      </c>
      <c r="D735" s="45">
        <f>VLOOKUP(Добавить1[[#This Row],[Товар]],$G$1:$H$14,2,0)*Добавить1[[#This Row],[количество_единиц_товара]]</f>
        <v>51200</v>
      </c>
      <c r="E735" s="45" t="s">
        <v>80</v>
      </c>
      <c r="F735" s="45" t="s">
        <v>96</v>
      </c>
    </row>
    <row r="736" spans="1:6" x14ac:dyDescent="0.3">
      <c r="A736" s="44">
        <v>42899.278695451387</v>
      </c>
      <c r="B736" s="45" t="s">
        <v>58</v>
      </c>
      <c r="C736" s="45">
        <v>18</v>
      </c>
      <c r="D736" s="45">
        <f>VLOOKUP(Добавить1[[#This Row],[Товар]],$G$1:$H$14,2,0)*Добавить1[[#This Row],[количество_единиц_товара]]</f>
        <v>80190</v>
      </c>
      <c r="E736" s="45" t="s">
        <v>81</v>
      </c>
      <c r="F736" s="45" t="s">
        <v>96</v>
      </c>
    </row>
    <row r="737" spans="1:6" x14ac:dyDescent="0.3">
      <c r="A737" s="44">
        <v>42902.497117557868</v>
      </c>
      <c r="B737" s="45" t="s">
        <v>50</v>
      </c>
      <c r="C737" s="45">
        <v>38</v>
      </c>
      <c r="D737" s="45">
        <f>VLOOKUP(Добавить1[[#This Row],[Товар]],$G$1:$H$14,2,0)*Добавить1[[#This Row],[количество_единиц_товара]]</f>
        <v>83600</v>
      </c>
      <c r="E737" s="45" t="s">
        <v>80</v>
      </c>
      <c r="F737" s="45" t="s">
        <v>96</v>
      </c>
    </row>
    <row r="738" spans="1:6" x14ac:dyDescent="0.3">
      <c r="A738" s="44">
        <v>42906.03043071759</v>
      </c>
      <c r="B738" s="45" t="s">
        <v>54</v>
      </c>
      <c r="C738" s="45">
        <v>34</v>
      </c>
      <c r="D738" s="45">
        <f>VLOOKUP(Добавить1[[#This Row],[Товар]],$G$1:$H$14,2,0)*Добавить1[[#This Row],[количество_единиц_товара]]</f>
        <v>83300</v>
      </c>
      <c r="E738" s="45" t="s">
        <v>79</v>
      </c>
      <c r="F738" s="45" t="s">
        <v>96</v>
      </c>
    </row>
    <row r="739" spans="1:6" x14ac:dyDescent="0.3">
      <c r="A739" s="44">
        <v>42911.016017407404</v>
      </c>
      <c r="B739" s="45" t="s">
        <v>51</v>
      </c>
      <c r="C739" s="45">
        <v>34</v>
      </c>
      <c r="D739" s="45">
        <f>VLOOKUP(Добавить1[[#This Row],[Товар]],$G$1:$H$14,2,0)*Добавить1[[#This Row],[количество_единиц_товара]]</f>
        <v>87040</v>
      </c>
      <c r="E739" s="45" t="s">
        <v>80</v>
      </c>
      <c r="F739" s="45" t="s">
        <v>96</v>
      </c>
    </row>
    <row r="740" spans="1:6" x14ac:dyDescent="0.3">
      <c r="A740" s="44">
        <v>42932.511253969904</v>
      </c>
      <c r="B740" s="45" t="s">
        <v>59</v>
      </c>
      <c r="C740" s="45">
        <v>38</v>
      </c>
      <c r="D740" s="45">
        <f>VLOOKUP(Добавить1[[#This Row],[Товар]],$G$1:$H$14,2,0)*Добавить1[[#This Row],[количество_единиц_товара]]</f>
        <v>76000</v>
      </c>
      <c r="E740" s="45" t="s">
        <v>81</v>
      </c>
      <c r="F740" s="45" t="s">
        <v>96</v>
      </c>
    </row>
    <row r="741" spans="1:6" x14ac:dyDescent="0.3">
      <c r="A741" s="44">
        <v>42958.116787881947</v>
      </c>
      <c r="B741" s="45" t="s">
        <v>52</v>
      </c>
      <c r="C741" s="45">
        <v>37</v>
      </c>
      <c r="D741" s="45">
        <f>VLOOKUP(Добавить1[[#This Row],[Товар]],$G$1:$H$14,2,0)*Добавить1[[#This Row],[количество_единиц_товара]]</f>
        <v>25160</v>
      </c>
      <c r="E741" s="45" t="s">
        <v>80</v>
      </c>
      <c r="F741" s="45" t="s">
        <v>96</v>
      </c>
    </row>
    <row r="742" spans="1:6" x14ac:dyDescent="0.3">
      <c r="A742" s="44">
        <v>42966.021986874999</v>
      </c>
      <c r="B742" s="45" t="s">
        <v>54</v>
      </c>
      <c r="C742" s="45">
        <v>24</v>
      </c>
      <c r="D742" s="45">
        <f>VLOOKUP(Добавить1[[#This Row],[Товар]],$G$1:$H$14,2,0)*Добавить1[[#This Row],[количество_единиц_товара]]</f>
        <v>58800</v>
      </c>
      <c r="E742" s="45" t="s">
        <v>81</v>
      </c>
      <c r="F742" s="45" t="s">
        <v>96</v>
      </c>
    </row>
    <row r="743" spans="1:6" x14ac:dyDescent="0.3">
      <c r="A743" s="44">
        <v>42994.800435787038</v>
      </c>
      <c r="B743" s="45" t="s">
        <v>53</v>
      </c>
      <c r="C743" s="45">
        <v>23</v>
      </c>
      <c r="D743" s="45">
        <f>VLOOKUP(Добавить1[[#This Row],[Товар]],$G$1:$H$14,2,0)*Добавить1[[#This Row],[количество_единиц_товара]]</f>
        <v>41124</v>
      </c>
      <c r="E743" s="45" t="s">
        <v>81</v>
      </c>
      <c r="F743" s="45" t="s">
        <v>96</v>
      </c>
    </row>
    <row r="744" spans="1:6" x14ac:dyDescent="0.3">
      <c r="A744" s="44">
        <v>43000.015154305554</v>
      </c>
      <c r="B744" s="45" t="s">
        <v>59</v>
      </c>
      <c r="C744" s="45">
        <v>15</v>
      </c>
      <c r="D744" s="45">
        <f>VLOOKUP(Добавить1[[#This Row],[Товар]],$G$1:$H$14,2,0)*Добавить1[[#This Row],[количество_единиц_товара]]</f>
        <v>30000</v>
      </c>
      <c r="E744" s="45" t="s">
        <v>79</v>
      </c>
      <c r="F744" s="45" t="s">
        <v>96</v>
      </c>
    </row>
    <row r="745" spans="1:6" x14ac:dyDescent="0.3">
      <c r="A745" s="44">
        <v>43004.845839305555</v>
      </c>
      <c r="B745" s="45" t="s">
        <v>52</v>
      </c>
      <c r="C745" s="45">
        <v>26</v>
      </c>
      <c r="D745" s="45">
        <f>VLOOKUP(Добавить1[[#This Row],[Товар]],$G$1:$H$14,2,0)*Добавить1[[#This Row],[количество_единиц_товара]]</f>
        <v>17680</v>
      </c>
      <c r="E745" s="45" t="s">
        <v>79</v>
      </c>
      <c r="F745" s="45" t="s">
        <v>96</v>
      </c>
    </row>
    <row r="746" spans="1:6" x14ac:dyDescent="0.3">
      <c r="A746" s="44">
        <v>43008.059360624997</v>
      </c>
      <c r="B746" s="45" t="s">
        <v>52</v>
      </c>
      <c r="C746" s="45">
        <v>21</v>
      </c>
      <c r="D746" s="45">
        <f>VLOOKUP(Добавить1[[#This Row],[Товар]],$G$1:$H$14,2,0)*Добавить1[[#This Row],[количество_единиц_товара]]</f>
        <v>14280</v>
      </c>
      <c r="E746" s="45" t="s">
        <v>81</v>
      </c>
      <c r="F746" s="45" t="s">
        <v>96</v>
      </c>
    </row>
    <row r="747" spans="1:6" x14ac:dyDescent="0.3">
      <c r="A747" s="44">
        <v>43012.590469814815</v>
      </c>
      <c r="B747" s="45" t="s">
        <v>51</v>
      </c>
      <c r="C747" s="45">
        <v>23</v>
      </c>
      <c r="D747" s="45">
        <f>VLOOKUP(Добавить1[[#This Row],[Товар]],$G$1:$H$14,2,0)*Добавить1[[#This Row],[количество_единиц_товара]]</f>
        <v>58880</v>
      </c>
      <c r="E747" s="45" t="s">
        <v>80</v>
      </c>
      <c r="F747" s="45" t="s">
        <v>96</v>
      </c>
    </row>
    <row r="748" spans="1:6" x14ac:dyDescent="0.3">
      <c r="A748" s="44">
        <v>43024.489909652781</v>
      </c>
      <c r="B748" s="45" t="s">
        <v>52</v>
      </c>
      <c r="C748" s="45">
        <v>14</v>
      </c>
      <c r="D748" s="45">
        <f>VLOOKUP(Добавить1[[#This Row],[Товар]],$G$1:$H$14,2,0)*Добавить1[[#This Row],[количество_единиц_товара]]</f>
        <v>9520</v>
      </c>
      <c r="E748" s="45" t="s">
        <v>79</v>
      </c>
      <c r="F748" s="45" t="s">
        <v>96</v>
      </c>
    </row>
    <row r="749" spans="1:6" x14ac:dyDescent="0.3">
      <c r="A749" s="44">
        <v>43042.082912083337</v>
      </c>
      <c r="B749" s="45" t="s">
        <v>59</v>
      </c>
      <c r="C749" s="45">
        <v>16</v>
      </c>
      <c r="D749" s="45">
        <f>VLOOKUP(Добавить1[[#This Row],[Товар]],$G$1:$H$14,2,0)*Добавить1[[#This Row],[количество_единиц_товара]]</f>
        <v>32000</v>
      </c>
      <c r="E749" s="45" t="s">
        <v>81</v>
      </c>
      <c r="F749" s="45" t="s">
        <v>96</v>
      </c>
    </row>
    <row r="750" spans="1:6" x14ac:dyDescent="0.3">
      <c r="A750" s="44">
        <v>43046.336789814814</v>
      </c>
      <c r="B750" s="45" t="s">
        <v>55</v>
      </c>
      <c r="C750" s="45">
        <v>17</v>
      </c>
      <c r="D750" s="45">
        <f>VLOOKUP(Добавить1[[#This Row],[Товар]],$G$1:$H$14,2,0)*Добавить1[[#This Row],[количество_единиц_товара]]</f>
        <v>76500</v>
      </c>
      <c r="E750" s="45" t="s">
        <v>81</v>
      </c>
      <c r="F750" s="45" t="s">
        <v>96</v>
      </c>
    </row>
    <row r="751" spans="1:6" x14ac:dyDescent="0.3">
      <c r="A751" s="44">
        <v>43061.993744675929</v>
      </c>
      <c r="B751" s="45" t="s">
        <v>58</v>
      </c>
      <c r="C751" s="45">
        <v>26</v>
      </c>
      <c r="D751" s="45">
        <f>VLOOKUP(Добавить1[[#This Row],[Товар]],$G$1:$H$14,2,0)*Добавить1[[#This Row],[количество_единиц_товара]]</f>
        <v>115830</v>
      </c>
      <c r="E751" s="45" t="s">
        <v>81</v>
      </c>
      <c r="F751" s="45" t="s">
        <v>96</v>
      </c>
    </row>
    <row r="752" spans="1:6" x14ac:dyDescent="0.3">
      <c r="A752" s="44">
        <v>43071.809890543984</v>
      </c>
      <c r="B752" s="45" t="s">
        <v>58</v>
      </c>
      <c r="C752" s="45">
        <v>18</v>
      </c>
      <c r="D752" s="45">
        <f>VLOOKUP(Добавить1[[#This Row],[Товар]],$G$1:$H$14,2,0)*Добавить1[[#This Row],[количество_единиц_товара]]</f>
        <v>80190</v>
      </c>
      <c r="E752" s="45" t="s">
        <v>80</v>
      </c>
      <c r="F752" s="45" t="s">
        <v>96</v>
      </c>
    </row>
    <row r="753" spans="1:6" x14ac:dyDescent="0.3">
      <c r="A753" s="44">
        <v>43077.474539814815</v>
      </c>
      <c r="B753" s="45" t="s">
        <v>50</v>
      </c>
      <c r="C753" s="45">
        <v>21</v>
      </c>
      <c r="D753" s="45">
        <f>VLOOKUP(Добавить1[[#This Row],[Товар]],$G$1:$H$14,2,0)*Добавить1[[#This Row],[количество_единиц_товара]]</f>
        <v>46200</v>
      </c>
      <c r="E753" s="45" t="s">
        <v>80</v>
      </c>
      <c r="F753" s="45" t="s">
        <v>96</v>
      </c>
    </row>
    <row r="754" spans="1:6" x14ac:dyDescent="0.3">
      <c r="A754" s="44">
        <v>43082.716963784726</v>
      </c>
      <c r="B754" s="45" t="s">
        <v>55</v>
      </c>
      <c r="C754" s="45">
        <v>38</v>
      </c>
      <c r="D754" s="45">
        <f>VLOOKUP(Добавить1[[#This Row],[Товар]],$G$1:$H$14,2,0)*Добавить1[[#This Row],[количество_единиц_товара]]</f>
        <v>171000</v>
      </c>
      <c r="E754" s="45" t="s">
        <v>81</v>
      </c>
      <c r="F754" s="45" t="s">
        <v>96</v>
      </c>
    </row>
    <row r="755" spans="1:6" x14ac:dyDescent="0.3">
      <c r="A755" s="44">
        <v>43106.9708000463</v>
      </c>
      <c r="B755" s="45" t="s">
        <v>59</v>
      </c>
      <c r="C755" s="45">
        <v>16</v>
      </c>
      <c r="D755" s="45">
        <f>VLOOKUP(Добавить1[[#This Row],[Товар]],$G$1:$H$14,2,0)*Добавить1[[#This Row],[количество_единиц_товара]]</f>
        <v>32000</v>
      </c>
      <c r="E755" s="45" t="s">
        <v>81</v>
      </c>
      <c r="F755" s="45" t="s">
        <v>96</v>
      </c>
    </row>
    <row r="756" spans="1:6" x14ac:dyDescent="0.3">
      <c r="A756" s="44">
        <v>43115.635675034719</v>
      </c>
      <c r="B756" s="45" t="s">
        <v>61</v>
      </c>
      <c r="C756" s="45">
        <v>13</v>
      </c>
      <c r="D756" s="45">
        <f>VLOOKUP(Добавить1[[#This Row],[Товар]],$G$1:$H$14,2,0)*Добавить1[[#This Row],[количество_единиц_товара]]</f>
        <v>45110</v>
      </c>
      <c r="E756" s="45" t="s">
        <v>81</v>
      </c>
      <c r="F756" s="45" t="s">
        <v>96</v>
      </c>
    </row>
    <row r="757" spans="1:6" x14ac:dyDescent="0.3">
      <c r="A757" s="44">
        <v>43121.901756921296</v>
      </c>
      <c r="B757" s="45" t="s">
        <v>50</v>
      </c>
      <c r="C757" s="45">
        <v>17</v>
      </c>
      <c r="D757" s="45">
        <f>VLOOKUP(Добавить1[[#This Row],[Товар]],$G$1:$H$14,2,0)*Добавить1[[#This Row],[количество_единиц_товара]]</f>
        <v>37400</v>
      </c>
      <c r="E757" s="45" t="s">
        <v>79</v>
      </c>
      <c r="F757" s="45" t="s">
        <v>96</v>
      </c>
    </row>
    <row r="758" spans="1:6" x14ac:dyDescent="0.3">
      <c r="A758" s="44">
        <v>43131.191865196757</v>
      </c>
      <c r="B758" s="45" t="s">
        <v>50</v>
      </c>
      <c r="C758" s="45">
        <v>16</v>
      </c>
      <c r="D758" s="45">
        <f>VLOOKUP(Добавить1[[#This Row],[Товар]],$G$1:$H$14,2,0)*Добавить1[[#This Row],[количество_единиц_товара]]</f>
        <v>35200</v>
      </c>
      <c r="E758" s="45" t="s">
        <v>81</v>
      </c>
      <c r="F758" s="45" t="s">
        <v>96</v>
      </c>
    </row>
    <row r="759" spans="1:6" x14ac:dyDescent="0.3">
      <c r="A759" s="44">
        <v>43140.781716967591</v>
      </c>
      <c r="B759" s="45" t="s">
        <v>55</v>
      </c>
      <c r="C759" s="45">
        <v>20</v>
      </c>
      <c r="D759" s="45">
        <f>VLOOKUP(Добавить1[[#This Row],[Товар]],$G$1:$H$14,2,0)*Добавить1[[#This Row],[количество_единиц_товара]]</f>
        <v>90000</v>
      </c>
      <c r="E759" s="45" t="s">
        <v>81</v>
      </c>
      <c r="F759" s="45" t="s">
        <v>96</v>
      </c>
    </row>
    <row r="760" spans="1:6" x14ac:dyDescent="0.3">
      <c r="A760" s="44">
        <v>43151.163110428242</v>
      </c>
      <c r="B760" s="45" t="s">
        <v>61</v>
      </c>
      <c r="C760" s="45">
        <v>37</v>
      </c>
      <c r="D760" s="45">
        <f>VLOOKUP(Добавить1[[#This Row],[Товар]],$G$1:$H$14,2,0)*Добавить1[[#This Row],[количество_единиц_товара]]</f>
        <v>128390</v>
      </c>
      <c r="E760" s="45" t="s">
        <v>79</v>
      </c>
      <c r="F760" s="45" t="s">
        <v>96</v>
      </c>
    </row>
    <row r="761" spans="1:6" x14ac:dyDescent="0.3">
      <c r="A761" s="44">
        <v>43157.73439834491</v>
      </c>
      <c r="B761" s="45" t="s">
        <v>51</v>
      </c>
      <c r="C761" s="45">
        <v>13</v>
      </c>
      <c r="D761" s="45">
        <f>VLOOKUP(Добавить1[[#This Row],[Товар]],$G$1:$H$14,2,0)*Добавить1[[#This Row],[количество_единиц_товара]]</f>
        <v>33280</v>
      </c>
      <c r="E761" s="45" t="s">
        <v>80</v>
      </c>
      <c r="F761" s="45" t="s">
        <v>96</v>
      </c>
    </row>
    <row r="762" spans="1:6" x14ac:dyDescent="0.3">
      <c r="A762" s="44">
        <v>43159.657022581021</v>
      </c>
      <c r="B762" s="45" t="s">
        <v>52</v>
      </c>
      <c r="C762" s="45">
        <v>35</v>
      </c>
      <c r="D762" s="45">
        <f>VLOOKUP(Добавить1[[#This Row],[Товар]],$G$1:$H$14,2,0)*Добавить1[[#This Row],[количество_единиц_товара]]</f>
        <v>23800</v>
      </c>
      <c r="E762" s="45" t="s">
        <v>79</v>
      </c>
      <c r="F762" s="45" t="s">
        <v>96</v>
      </c>
    </row>
    <row r="763" spans="1:6" x14ac:dyDescent="0.3">
      <c r="A763" s="44">
        <v>43170.044306377313</v>
      </c>
      <c r="B763" s="45" t="s">
        <v>54</v>
      </c>
      <c r="C763" s="45">
        <v>27</v>
      </c>
      <c r="D763" s="45">
        <f>VLOOKUP(Добавить1[[#This Row],[Товар]],$G$1:$H$14,2,0)*Добавить1[[#This Row],[количество_единиц_товара]]</f>
        <v>66150</v>
      </c>
      <c r="E763" s="45" t="s">
        <v>79</v>
      </c>
      <c r="F763" s="45" t="s">
        <v>96</v>
      </c>
    </row>
    <row r="764" spans="1:6" x14ac:dyDescent="0.3">
      <c r="A764" s="44">
        <v>43174.466686261578</v>
      </c>
      <c r="B764" s="45" t="s">
        <v>50</v>
      </c>
      <c r="C764" s="45">
        <v>31</v>
      </c>
      <c r="D764" s="45">
        <f>VLOOKUP(Добавить1[[#This Row],[Товар]],$G$1:$H$14,2,0)*Добавить1[[#This Row],[количество_единиц_товара]]</f>
        <v>68200</v>
      </c>
      <c r="E764" s="45" t="s">
        <v>81</v>
      </c>
      <c r="F764" s="45" t="s">
        <v>96</v>
      </c>
    </row>
    <row r="765" spans="1:6" x14ac:dyDescent="0.3">
      <c r="A765" s="44">
        <v>43193.230152384262</v>
      </c>
      <c r="B765" s="45" t="s">
        <v>60</v>
      </c>
      <c r="C765" s="45">
        <v>31</v>
      </c>
      <c r="D765" s="45">
        <f>VLOOKUP(Добавить1[[#This Row],[Товар]],$G$1:$H$14,2,0)*Добавить1[[#This Row],[количество_единиц_товара]]</f>
        <v>179459</v>
      </c>
      <c r="E765" s="45" t="s">
        <v>79</v>
      </c>
      <c r="F765" s="45" t="s">
        <v>96</v>
      </c>
    </row>
    <row r="766" spans="1:6" x14ac:dyDescent="0.3">
      <c r="A766" s="44">
        <v>43207.878666840275</v>
      </c>
      <c r="B766" s="45" t="s">
        <v>59</v>
      </c>
      <c r="C766" s="45">
        <v>25</v>
      </c>
      <c r="D766" s="45">
        <f>VLOOKUP(Добавить1[[#This Row],[Товар]],$G$1:$H$14,2,0)*Добавить1[[#This Row],[количество_единиц_товара]]</f>
        <v>50000</v>
      </c>
      <c r="E766" s="45" t="s">
        <v>81</v>
      </c>
      <c r="F766" s="45" t="s">
        <v>96</v>
      </c>
    </row>
    <row r="767" spans="1:6" x14ac:dyDescent="0.3">
      <c r="A767" s="44">
        <v>43216.517656886572</v>
      </c>
      <c r="B767" s="45" t="s">
        <v>58</v>
      </c>
      <c r="C767" s="45">
        <v>27</v>
      </c>
      <c r="D767" s="45">
        <f>VLOOKUP(Добавить1[[#This Row],[Товар]],$G$1:$H$14,2,0)*Добавить1[[#This Row],[количество_единиц_товара]]</f>
        <v>120285</v>
      </c>
      <c r="E767" s="45" t="s">
        <v>81</v>
      </c>
      <c r="F767" s="45" t="s">
        <v>96</v>
      </c>
    </row>
    <row r="768" spans="1:6" x14ac:dyDescent="0.3">
      <c r="A768" s="44">
        <v>43219.507715613428</v>
      </c>
      <c r="B768" s="45" t="s">
        <v>49</v>
      </c>
      <c r="C768" s="45">
        <v>26</v>
      </c>
      <c r="D768" s="45">
        <f>VLOOKUP(Добавить1[[#This Row],[Товар]],$G$1:$H$14,2,0)*Добавить1[[#This Row],[количество_единиц_товара]]</f>
        <v>80600</v>
      </c>
      <c r="E768" s="45" t="s">
        <v>79</v>
      </c>
      <c r="F768" s="45" t="s">
        <v>96</v>
      </c>
    </row>
    <row r="769" spans="1:6" x14ac:dyDescent="0.3">
      <c r="A769" s="44">
        <v>43223.218091793984</v>
      </c>
      <c r="B769" s="45" t="s">
        <v>59</v>
      </c>
      <c r="C769" s="45">
        <v>34</v>
      </c>
      <c r="D769" s="45">
        <f>VLOOKUP(Добавить1[[#This Row],[Товар]],$G$1:$H$14,2,0)*Добавить1[[#This Row],[количество_единиц_товара]]</f>
        <v>68000</v>
      </c>
      <c r="E769" s="45" t="s">
        <v>81</v>
      </c>
      <c r="F769" s="45" t="s">
        <v>96</v>
      </c>
    </row>
    <row r="770" spans="1:6" x14ac:dyDescent="0.3">
      <c r="A770" s="44">
        <v>43224.842773865741</v>
      </c>
      <c r="B770" s="45" t="s">
        <v>54</v>
      </c>
      <c r="C770" s="45">
        <v>15</v>
      </c>
      <c r="D770" s="45">
        <f>VLOOKUP(Добавить1[[#This Row],[Товар]],$G$1:$H$14,2,0)*Добавить1[[#This Row],[количество_единиц_товара]]</f>
        <v>36750</v>
      </c>
      <c r="E770" s="45" t="s">
        <v>81</v>
      </c>
      <c r="F770" s="45" t="s">
        <v>96</v>
      </c>
    </row>
    <row r="771" spans="1:6" x14ac:dyDescent="0.3">
      <c r="A771" s="44">
        <v>43227.148282916663</v>
      </c>
      <c r="B771" s="45" t="s">
        <v>59</v>
      </c>
      <c r="C771" s="45">
        <v>34</v>
      </c>
      <c r="D771" s="45">
        <f>VLOOKUP(Добавить1[[#This Row],[Товар]],$G$1:$H$14,2,0)*Добавить1[[#This Row],[количество_единиц_товара]]</f>
        <v>68000</v>
      </c>
      <c r="E771" s="45" t="s">
        <v>81</v>
      </c>
      <c r="F771" s="45" t="s">
        <v>96</v>
      </c>
    </row>
    <row r="772" spans="1:6" x14ac:dyDescent="0.3">
      <c r="A772" s="44">
        <v>43254.289023680554</v>
      </c>
      <c r="B772" s="45" t="s">
        <v>59</v>
      </c>
      <c r="C772" s="45">
        <v>19</v>
      </c>
      <c r="D772" s="45">
        <f>VLOOKUP(Добавить1[[#This Row],[Товар]],$G$1:$H$14,2,0)*Добавить1[[#This Row],[количество_единиц_товара]]</f>
        <v>38000</v>
      </c>
      <c r="E772" s="45" t="s">
        <v>80</v>
      </c>
      <c r="F772" s="45" t="s">
        <v>96</v>
      </c>
    </row>
    <row r="773" spans="1:6" x14ac:dyDescent="0.3">
      <c r="A773" s="44">
        <v>43259.141474733799</v>
      </c>
      <c r="B773" s="45" t="s">
        <v>58</v>
      </c>
      <c r="C773" s="45">
        <v>13</v>
      </c>
      <c r="D773" s="45">
        <f>VLOOKUP(Добавить1[[#This Row],[Товар]],$G$1:$H$14,2,0)*Добавить1[[#This Row],[количество_единиц_товара]]</f>
        <v>57915</v>
      </c>
      <c r="E773" s="45" t="s">
        <v>81</v>
      </c>
      <c r="F773" s="45" t="s">
        <v>96</v>
      </c>
    </row>
    <row r="774" spans="1:6" x14ac:dyDescent="0.3">
      <c r="A774" s="44">
        <v>43263.634880185185</v>
      </c>
      <c r="B774" s="45" t="s">
        <v>52</v>
      </c>
      <c r="C774" s="45">
        <v>16</v>
      </c>
      <c r="D774" s="45">
        <f>VLOOKUP(Добавить1[[#This Row],[Товар]],$G$1:$H$14,2,0)*Добавить1[[#This Row],[количество_единиц_товара]]</f>
        <v>10880</v>
      </c>
      <c r="E774" s="45" t="s">
        <v>81</v>
      </c>
      <c r="F774" s="45" t="s">
        <v>96</v>
      </c>
    </row>
    <row r="775" spans="1:6" x14ac:dyDescent="0.3">
      <c r="A775" s="44">
        <v>43270.706770856479</v>
      </c>
      <c r="B775" s="45" t="s">
        <v>56</v>
      </c>
      <c r="C775" s="45">
        <v>21</v>
      </c>
      <c r="D775" s="45">
        <f>VLOOKUP(Добавить1[[#This Row],[Товар]],$G$1:$H$14,2,0)*Добавить1[[#This Row],[количество_единиц_товара]]</f>
        <v>33600</v>
      </c>
      <c r="E775" s="45" t="s">
        <v>80</v>
      </c>
      <c r="F775" s="45" t="s">
        <v>96</v>
      </c>
    </row>
    <row r="776" spans="1:6" x14ac:dyDescent="0.3">
      <c r="A776" s="44">
        <v>43297.203777974537</v>
      </c>
      <c r="B776" s="45" t="s">
        <v>53</v>
      </c>
      <c r="C776" s="45">
        <v>24</v>
      </c>
      <c r="D776" s="45">
        <f>VLOOKUP(Добавить1[[#This Row],[Товар]],$G$1:$H$14,2,0)*Добавить1[[#This Row],[количество_единиц_товара]]</f>
        <v>42912</v>
      </c>
      <c r="E776" s="45" t="s">
        <v>81</v>
      </c>
      <c r="F776" s="45" t="s">
        <v>96</v>
      </c>
    </row>
    <row r="777" spans="1:6" x14ac:dyDescent="0.3">
      <c r="A777" s="44">
        <v>43298.813301134258</v>
      </c>
      <c r="B777" s="45" t="s">
        <v>58</v>
      </c>
      <c r="C777" s="45">
        <v>15</v>
      </c>
      <c r="D777" s="45">
        <f>VLOOKUP(Добавить1[[#This Row],[Товар]],$G$1:$H$14,2,0)*Добавить1[[#This Row],[количество_единиц_товара]]</f>
        <v>66825</v>
      </c>
      <c r="E777" s="45" t="s">
        <v>80</v>
      </c>
      <c r="F777" s="45" t="s">
        <v>96</v>
      </c>
    </row>
    <row r="778" spans="1:6" x14ac:dyDescent="0.3">
      <c r="A778" s="44">
        <v>43303.261885717591</v>
      </c>
      <c r="B778" s="45" t="s">
        <v>55</v>
      </c>
      <c r="C778" s="45">
        <v>39</v>
      </c>
      <c r="D778" s="45">
        <f>VLOOKUP(Добавить1[[#This Row],[Товар]],$G$1:$H$14,2,0)*Добавить1[[#This Row],[количество_единиц_товара]]</f>
        <v>175500</v>
      </c>
      <c r="E778" s="45" t="s">
        <v>79</v>
      </c>
      <c r="F778" s="45" t="s">
        <v>96</v>
      </c>
    </row>
    <row r="779" spans="1:6" x14ac:dyDescent="0.3">
      <c r="A779" s="44">
        <v>43331.407854745368</v>
      </c>
      <c r="B779" s="45" t="s">
        <v>58</v>
      </c>
      <c r="C779" s="45">
        <v>31</v>
      </c>
      <c r="D779" s="45">
        <f>VLOOKUP(Добавить1[[#This Row],[Товар]],$G$1:$H$14,2,0)*Добавить1[[#This Row],[количество_единиц_товара]]</f>
        <v>138105</v>
      </c>
      <c r="E779" s="45" t="s">
        <v>81</v>
      </c>
      <c r="F779" s="45" t="s">
        <v>96</v>
      </c>
    </row>
    <row r="780" spans="1:6" x14ac:dyDescent="0.3">
      <c r="A780" s="44">
        <v>43358.807472442131</v>
      </c>
      <c r="B780" s="45" t="s">
        <v>59</v>
      </c>
      <c r="C780" s="45">
        <v>15</v>
      </c>
      <c r="D780" s="45">
        <f>VLOOKUP(Добавить1[[#This Row],[Товар]],$G$1:$H$14,2,0)*Добавить1[[#This Row],[количество_единиц_товара]]</f>
        <v>30000</v>
      </c>
      <c r="E780" s="45" t="s">
        <v>80</v>
      </c>
      <c r="F780" s="45" t="s">
        <v>96</v>
      </c>
    </row>
    <row r="781" spans="1:6" x14ac:dyDescent="0.3">
      <c r="A781" s="44">
        <v>43367.683421828704</v>
      </c>
      <c r="B781" s="45" t="s">
        <v>58</v>
      </c>
      <c r="C781" s="45">
        <v>21</v>
      </c>
      <c r="D781" s="45">
        <f>VLOOKUP(Добавить1[[#This Row],[Товар]],$G$1:$H$14,2,0)*Добавить1[[#This Row],[количество_единиц_товара]]</f>
        <v>93555</v>
      </c>
      <c r="E781" s="45" t="s">
        <v>80</v>
      </c>
      <c r="F781" s="45" t="s">
        <v>96</v>
      </c>
    </row>
    <row r="782" spans="1:6" x14ac:dyDescent="0.3">
      <c r="A782" s="44">
        <v>43373.782568090275</v>
      </c>
      <c r="B782" s="45" t="s">
        <v>52</v>
      </c>
      <c r="C782" s="45">
        <v>33</v>
      </c>
      <c r="D782" s="45">
        <f>VLOOKUP(Добавить1[[#This Row],[Товар]],$G$1:$H$14,2,0)*Добавить1[[#This Row],[количество_единиц_товара]]</f>
        <v>22440</v>
      </c>
      <c r="E782" s="45" t="s">
        <v>80</v>
      </c>
      <c r="F782" s="45" t="s">
        <v>96</v>
      </c>
    </row>
    <row r="783" spans="1:6" x14ac:dyDescent="0.3">
      <c r="A783" s="44">
        <v>43376.052644467592</v>
      </c>
      <c r="B783" s="45" t="s">
        <v>52</v>
      </c>
      <c r="C783" s="45">
        <v>21</v>
      </c>
      <c r="D783" s="45">
        <f>VLOOKUP(Добавить1[[#This Row],[Товар]],$G$1:$H$14,2,0)*Добавить1[[#This Row],[количество_единиц_товара]]</f>
        <v>14280</v>
      </c>
      <c r="E783" s="45" t="s">
        <v>80</v>
      </c>
      <c r="F783" s="45" t="s">
        <v>96</v>
      </c>
    </row>
    <row r="784" spans="1:6" x14ac:dyDescent="0.3">
      <c r="A784" s="44">
        <v>43381.150036666666</v>
      </c>
      <c r="B784" s="45" t="s">
        <v>50</v>
      </c>
      <c r="C784" s="45">
        <v>27</v>
      </c>
      <c r="D784" s="45">
        <f>VLOOKUP(Добавить1[[#This Row],[Товар]],$G$1:$H$14,2,0)*Добавить1[[#This Row],[количество_единиц_товара]]</f>
        <v>59400</v>
      </c>
      <c r="E784" s="45" t="s">
        <v>81</v>
      </c>
      <c r="F784" s="45" t="s">
        <v>96</v>
      </c>
    </row>
    <row r="785" spans="1:6" x14ac:dyDescent="0.3">
      <c r="A785" s="44">
        <v>43384.726934791666</v>
      </c>
      <c r="B785" s="45" t="s">
        <v>52</v>
      </c>
      <c r="C785" s="45">
        <v>11</v>
      </c>
      <c r="D785" s="45">
        <f>VLOOKUP(Добавить1[[#This Row],[Товар]],$G$1:$H$14,2,0)*Добавить1[[#This Row],[количество_единиц_товара]]</f>
        <v>7480</v>
      </c>
      <c r="E785" s="45" t="s">
        <v>80</v>
      </c>
      <c r="F785" s="45" t="s">
        <v>96</v>
      </c>
    </row>
    <row r="786" spans="1:6" x14ac:dyDescent="0.3">
      <c r="A786" s="44">
        <v>43387.066798078704</v>
      </c>
      <c r="B786" s="45" t="s">
        <v>56</v>
      </c>
      <c r="C786" s="45">
        <v>36</v>
      </c>
      <c r="D786" s="45">
        <f>VLOOKUP(Добавить1[[#This Row],[Товар]],$G$1:$H$14,2,0)*Добавить1[[#This Row],[количество_единиц_товара]]</f>
        <v>57600</v>
      </c>
      <c r="E786" s="45" t="s">
        <v>79</v>
      </c>
      <c r="F786" s="45" t="s">
        <v>96</v>
      </c>
    </row>
    <row r="787" spans="1:6" x14ac:dyDescent="0.3">
      <c r="A787" s="44">
        <v>43402.55784642361</v>
      </c>
      <c r="B787" s="45" t="s">
        <v>49</v>
      </c>
      <c r="C787" s="45">
        <v>21</v>
      </c>
      <c r="D787" s="45">
        <f>VLOOKUP(Добавить1[[#This Row],[Товар]],$G$1:$H$14,2,0)*Добавить1[[#This Row],[количество_единиц_товара]]</f>
        <v>65100</v>
      </c>
      <c r="E787" s="45" t="s">
        <v>81</v>
      </c>
      <c r="F787" s="45" t="s">
        <v>96</v>
      </c>
    </row>
    <row r="788" spans="1:6" x14ac:dyDescent="0.3">
      <c r="A788" s="44">
        <v>43414.147909363426</v>
      </c>
      <c r="B788" s="45" t="s">
        <v>52</v>
      </c>
      <c r="C788" s="45">
        <v>10</v>
      </c>
      <c r="D788" s="45">
        <f>VLOOKUP(Добавить1[[#This Row],[Товар]],$G$1:$H$14,2,0)*Добавить1[[#This Row],[количество_единиц_товара]]</f>
        <v>6800</v>
      </c>
      <c r="E788" s="45" t="s">
        <v>79</v>
      </c>
      <c r="F788" s="45" t="s">
        <v>96</v>
      </c>
    </row>
    <row r="789" spans="1:6" x14ac:dyDescent="0.3">
      <c r="A789" s="44">
        <v>43416.349008229168</v>
      </c>
      <c r="B789" s="45" t="s">
        <v>60</v>
      </c>
      <c r="C789" s="45">
        <v>23</v>
      </c>
      <c r="D789" s="45">
        <f>VLOOKUP(Добавить1[[#This Row],[Товар]],$G$1:$H$14,2,0)*Добавить1[[#This Row],[количество_единиц_товара]]</f>
        <v>133147</v>
      </c>
      <c r="E789" s="45" t="s">
        <v>80</v>
      </c>
      <c r="F789" s="45" t="s">
        <v>96</v>
      </c>
    </row>
    <row r="790" spans="1:6" x14ac:dyDescent="0.3">
      <c r="A790" s="44">
        <v>43420.645382372684</v>
      </c>
      <c r="B790" s="45" t="s">
        <v>52</v>
      </c>
      <c r="C790" s="45">
        <v>19</v>
      </c>
      <c r="D790" s="45">
        <f>VLOOKUP(Добавить1[[#This Row],[Товар]],$G$1:$H$14,2,0)*Добавить1[[#This Row],[количество_единиц_товара]]</f>
        <v>12920</v>
      </c>
      <c r="E790" s="45" t="s">
        <v>81</v>
      </c>
      <c r="F790" s="45" t="s">
        <v>96</v>
      </c>
    </row>
    <row r="791" spans="1:6" x14ac:dyDescent="0.3">
      <c r="A791" s="44">
        <v>43429.97733976852</v>
      </c>
      <c r="B791" s="45" t="s">
        <v>50</v>
      </c>
      <c r="C791" s="45">
        <v>23</v>
      </c>
      <c r="D791" s="45">
        <f>VLOOKUP(Добавить1[[#This Row],[Товар]],$G$1:$H$14,2,0)*Добавить1[[#This Row],[количество_единиц_товара]]</f>
        <v>50600</v>
      </c>
      <c r="E791" s="45" t="s">
        <v>80</v>
      </c>
      <c r="F791" s="45" t="s">
        <v>96</v>
      </c>
    </row>
    <row r="792" spans="1:6" x14ac:dyDescent="0.3">
      <c r="A792" s="44">
        <v>43434.994548576389</v>
      </c>
      <c r="B792" s="45" t="s">
        <v>59</v>
      </c>
      <c r="C792" s="45">
        <v>24</v>
      </c>
      <c r="D792" s="45">
        <f>VLOOKUP(Добавить1[[#This Row],[Товар]],$G$1:$H$14,2,0)*Добавить1[[#This Row],[количество_единиц_товара]]</f>
        <v>48000</v>
      </c>
      <c r="E792" s="45" t="s">
        <v>80</v>
      </c>
      <c r="F792" s="45" t="s">
        <v>96</v>
      </c>
    </row>
    <row r="793" spans="1:6" x14ac:dyDescent="0.3">
      <c r="A793" s="44">
        <v>43443.009909247688</v>
      </c>
      <c r="B793" s="45" t="s">
        <v>49</v>
      </c>
      <c r="C793" s="45">
        <v>17</v>
      </c>
      <c r="D793" s="45">
        <f>VLOOKUP(Добавить1[[#This Row],[Товар]],$G$1:$H$14,2,0)*Добавить1[[#This Row],[количество_единиц_товара]]</f>
        <v>52700</v>
      </c>
      <c r="E793" s="45" t="s">
        <v>79</v>
      </c>
      <c r="F793" s="45" t="s">
        <v>96</v>
      </c>
    </row>
    <row r="794" spans="1:6" x14ac:dyDescent="0.3">
      <c r="A794" s="44">
        <v>43450.36735537037</v>
      </c>
      <c r="B794" s="45" t="s">
        <v>56</v>
      </c>
      <c r="C794" s="45">
        <v>39</v>
      </c>
      <c r="D794" s="45">
        <f>VLOOKUP(Добавить1[[#This Row],[Товар]],$G$1:$H$14,2,0)*Добавить1[[#This Row],[количество_единиц_товара]]</f>
        <v>62400</v>
      </c>
      <c r="E794" s="45" t="s">
        <v>80</v>
      </c>
      <c r="F794" s="45" t="s">
        <v>96</v>
      </c>
    </row>
    <row r="795" spans="1:6" x14ac:dyDescent="0.3">
      <c r="A795" s="44">
        <v>43464.458606597225</v>
      </c>
      <c r="B795" s="45" t="s">
        <v>51</v>
      </c>
      <c r="C795" s="45">
        <v>15</v>
      </c>
      <c r="D795" s="45">
        <f>VLOOKUP(Добавить1[[#This Row],[Товар]],$G$1:$H$14,2,0)*Добавить1[[#This Row],[количество_единиц_товара]]</f>
        <v>38400</v>
      </c>
      <c r="E795" s="45" t="s">
        <v>80</v>
      </c>
      <c r="F795" s="45" t="s">
        <v>96</v>
      </c>
    </row>
    <row r="796" spans="1:6" x14ac:dyDescent="0.3">
      <c r="A796" s="44">
        <v>43467.502372569441</v>
      </c>
      <c r="B796" s="45" t="s">
        <v>58</v>
      </c>
      <c r="C796" s="45">
        <v>35</v>
      </c>
      <c r="D796" s="45">
        <f>VLOOKUP(Добавить1[[#This Row],[Товар]],$G$1:$H$14,2,0)*Добавить1[[#This Row],[количество_единиц_товара]]</f>
        <v>155925</v>
      </c>
      <c r="E796" s="45" t="s">
        <v>80</v>
      </c>
      <c r="F796" s="45" t="s">
        <v>96</v>
      </c>
    </row>
    <row r="797" spans="1:6" x14ac:dyDescent="0.3">
      <c r="A797" s="44">
        <v>43470.753413472223</v>
      </c>
      <c r="B797" s="45" t="s">
        <v>58</v>
      </c>
      <c r="C797" s="45">
        <v>10</v>
      </c>
      <c r="D797" s="45">
        <f>VLOOKUP(Добавить1[[#This Row],[Товар]],$G$1:$H$14,2,0)*Добавить1[[#This Row],[количество_единиц_товара]]</f>
        <v>44550</v>
      </c>
      <c r="E797" s="45" t="s">
        <v>81</v>
      </c>
      <c r="F797" s="45" t="s">
        <v>96</v>
      </c>
    </row>
    <row r="798" spans="1:6" x14ac:dyDescent="0.3">
      <c r="A798" s="44">
        <v>43480.000224178242</v>
      </c>
      <c r="B798" s="45" t="s">
        <v>53</v>
      </c>
      <c r="C798" s="45">
        <v>38</v>
      </c>
      <c r="D798" s="45">
        <f>VLOOKUP(Добавить1[[#This Row],[Товар]],$G$1:$H$14,2,0)*Добавить1[[#This Row],[количество_единиц_товара]]</f>
        <v>67944</v>
      </c>
      <c r="E798" s="45" t="s">
        <v>79</v>
      </c>
      <c r="F798" s="45" t="s">
        <v>96</v>
      </c>
    </row>
    <row r="799" spans="1:6" x14ac:dyDescent="0.3">
      <c r="A799" s="44">
        <v>43489.495171006944</v>
      </c>
      <c r="B799" s="45" t="s">
        <v>52</v>
      </c>
      <c r="C799" s="45">
        <v>28</v>
      </c>
      <c r="D799" s="45">
        <f>VLOOKUP(Добавить1[[#This Row],[Товар]],$G$1:$H$14,2,0)*Добавить1[[#This Row],[количество_единиц_товара]]</f>
        <v>19040</v>
      </c>
      <c r="E799" s="45" t="s">
        <v>79</v>
      </c>
      <c r="F799" s="45" t="s">
        <v>96</v>
      </c>
    </row>
    <row r="800" spans="1:6" x14ac:dyDescent="0.3">
      <c r="A800" s="44">
        <v>43521.431152430552</v>
      </c>
      <c r="B800" s="45" t="s">
        <v>56</v>
      </c>
      <c r="C800" s="45">
        <v>22</v>
      </c>
      <c r="D800" s="45">
        <f>VLOOKUP(Добавить1[[#This Row],[Товар]],$G$1:$H$14,2,0)*Добавить1[[#This Row],[количество_единиц_товара]]</f>
        <v>35200</v>
      </c>
      <c r="E800" s="45" t="s">
        <v>80</v>
      </c>
      <c r="F800" s="45" t="s">
        <v>96</v>
      </c>
    </row>
    <row r="801" spans="1:6" x14ac:dyDescent="0.3">
      <c r="A801" s="44">
        <v>43548.000910532406</v>
      </c>
      <c r="B801" s="45" t="s">
        <v>52</v>
      </c>
      <c r="C801" s="45">
        <v>12</v>
      </c>
      <c r="D801" s="45">
        <f>VLOOKUP(Добавить1[[#This Row],[Товар]],$G$1:$H$14,2,0)*Добавить1[[#This Row],[количество_единиц_товара]]</f>
        <v>8160</v>
      </c>
      <c r="E801" s="45" t="s">
        <v>81</v>
      </c>
      <c r="F801" s="45" t="s">
        <v>96</v>
      </c>
    </row>
    <row r="802" spans="1:6" x14ac:dyDescent="0.3">
      <c r="A802" s="44">
        <v>43562.59096577546</v>
      </c>
      <c r="B802" s="45" t="s">
        <v>51</v>
      </c>
      <c r="C802" s="45">
        <v>18</v>
      </c>
      <c r="D802" s="45">
        <f>VLOOKUP(Добавить1[[#This Row],[Товар]],$G$1:$H$14,2,0)*Добавить1[[#This Row],[количество_единиц_товара]]</f>
        <v>46080</v>
      </c>
      <c r="E802" s="45" t="s">
        <v>80</v>
      </c>
      <c r="F802" s="45" t="s">
        <v>96</v>
      </c>
    </row>
    <row r="803" spans="1:6" x14ac:dyDescent="0.3">
      <c r="A803" s="44">
        <v>43569.846040486111</v>
      </c>
      <c r="B803" s="45" t="s">
        <v>58</v>
      </c>
      <c r="C803" s="45">
        <v>39</v>
      </c>
      <c r="D803" s="45">
        <f>VLOOKUP(Добавить1[[#This Row],[Товар]],$G$1:$H$14,2,0)*Добавить1[[#This Row],[количество_единиц_товара]]</f>
        <v>173745</v>
      </c>
      <c r="E803" s="45" t="s">
        <v>79</v>
      </c>
      <c r="F803" s="45" t="s">
        <v>96</v>
      </c>
    </row>
    <row r="804" spans="1:6" x14ac:dyDescent="0.3">
      <c r="A804" s="44">
        <v>43588.077788425922</v>
      </c>
      <c r="B804" s="45" t="s">
        <v>54</v>
      </c>
      <c r="C804" s="45">
        <v>35</v>
      </c>
      <c r="D804" s="45">
        <f>VLOOKUP(Добавить1[[#This Row],[Товар]],$G$1:$H$14,2,0)*Добавить1[[#This Row],[количество_единиц_товара]]</f>
        <v>85750</v>
      </c>
      <c r="E804" s="45" t="s">
        <v>80</v>
      </c>
      <c r="F804" s="45" t="s">
        <v>96</v>
      </c>
    </row>
    <row r="805" spans="1:6" x14ac:dyDescent="0.3">
      <c r="A805" s="44">
        <v>43599.289826736109</v>
      </c>
      <c r="B805" s="45" t="s">
        <v>54</v>
      </c>
      <c r="C805" s="45">
        <v>23</v>
      </c>
      <c r="D805" s="45">
        <f>VLOOKUP(Добавить1[[#This Row],[Товар]],$G$1:$H$14,2,0)*Добавить1[[#This Row],[количество_единиц_товара]]</f>
        <v>56350</v>
      </c>
      <c r="E805" s="45" t="s">
        <v>79</v>
      </c>
      <c r="F805" s="45" t="s">
        <v>96</v>
      </c>
    </row>
    <row r="806" spans="1:6" x14ac:dyDescent="0.3">
      <c r="A806" s="44">
        <v>43614.581404976852</v>
      </c>
      <c r="B806" s="45" t="s">
        <v>54</v>
      </c>
      <c r="C806" s="45">
        <v>18</v>
      </c>
      <c r="D806" s="45">
        <f>VLOOKUP(Добавить1[[#This Row],[Товар]],$G$1:$H$14,2,0)*Добавить1[[#This Row],[количество_единиц_товара]]</f>
        <v>44100</v>
      </c>
      <c r="E806" s="45" t="s">
        <v>81</v>
      </c>
      <c r="F806" s="45" t="s">
        <v>96</v>
      </c>
    </row>
    <row r="807" spans="1:6" x14ac:dyDescent="0.3">
      <c r="A807" s="44">
        <v>43621.137187025466</v>
      </c>
      <c r="B807" s="45" t="s">
        <v>53</v>
      </c>
      <c r="C807" s="45">
        <v>23</v>
      </c>
      <c r="D807" s="45">
        <f>VLOOKUP(Добавить1[[#This Row],[Товар]],$G$1:$H$14,2,0)*Добавить1[[#This Row],[количество_единиц_товара]]</f>
        <v>41124</v>
      </c>
      <c r="E807" s="45" t="s">
        <v>80</v>
      </c>
      <c r="F807" s="45" t="s">
        <v>96</v>
      </c>
    </row>
    <row r="808" spans="1:6" x14ac:dyDescent="0.3">
      <c r="A808" s="44">
        <v>43632.490813414355</v>
      </c>
      <c r="B808" s="45" t="s">
        <v>51</v>
      </c>
      <c r="C808" s="45">
        <v>37</v>
      </c>
      <c r="D808" s="45">
        <f>VLOOKUP(Добавить1[[#This Row],[Товар]],$G$1:$H$14,2,0)*Добавить1[[#This Row],[количество_единиц_товара]]</f>
        <v>94720</v>
      </c>
      <c r="E808" s="45" t="s">
        <v>80</v>
      </c>
      <c r="F808" s="45" t="s">
        <v>96</v>
      </c>
    </row>
    <row r="809" spans="1:6" x14ac:dyDescent="0.3">
      <c r="A809" s="44">
        <v>43652.495244722224</v>
      </c>
      <c r="B809" s="45" t="s">
        <v>53</v>
      </c>
      <c r="C809" s="45">
        <v>38</v>
      </c>
      <c r="D809" s="45">
        <f>VLOOKUP(Добавить1[[#This Row],[Товар]],$G$1:$H$14,2,0)*Добавить1[[#This Row],[количество_единиц_товара]]</f>
        <v>67944</v>
      </c>
      <c r="E809" s="45" t="s">
        <v>79</v>
      </c>
      <c r="F809" s="45" t="s">
        <v>96</v>
      </c>
    </row>
    <row r="810" spans="1:6" x14ac:dyDescent="0.3">
      <c r="A810" s="44">
        <v>43655.592120231478</v>
      </c>
      <c r="B810" s="45" t="s">
        <v>58</v>
      </c>
      <c r="C810" s="45">
        <v>35</v>
      </c>
      <c r="D810" s="45">
        <f>VLOOKUP(Добавить1[[#This Row],[Товар]],$G$1:$H$14,2,0)*Добавить1[[#This Row],[количество_единиц_товара]]</f>
        <v>155925</v>
      </c>
      <c r="E810" s="45" t="s">
        <v>80</v>
      </c>
      <c r="F810" s="45" t="s">
        <v>96</v>
      </c>
    </row>
    <row r="811" spans="1:6" x14ac:dyDescent="0.3">
      <c r="A811" s="44">
        <v>43667.327639039351</v>
      </c>
      <c r="B811" s="45" t="s">
        <v>52</v>
      </c>
      <c r="C811" s="45">
        <v>25</v>
      </c>
      <c r="D811" s="45">
        <f>VLOOKUP(Добавить1[[#This Row],[Товар]],$G$1:$H$14,2,0)*Добавить1[[#This Row],[количество_единиц_товара]]</f>
        <v>17000</v>
      </c>
      <c r="E811" s="45" t="s">
        <v>80</v>
      </c>
      <c r="F811" s="45" t="s">
        <v>96</v>
      </c>
    </row>
    <row r="812" spans="1:6" x14ac:dyDescent="0.3">
      <c r="A812" s="44">
        <v>43668.116078078703</v>
      </c>
      <c r="B812" s="45" t="s">
        <v>59</v>
      </c>
      <c r="C812" s="45">
        <v>23</v>
      </c>
      <c r="D812" s="45">
        <f>VLOOKUP(Добавить1[[#This Row],[Товар]],$G$1:$H$14,2,0)*Добавить1[[#This Row],[количество_единиц_товара]]</f>
        <v>46000</v>
      </c>
      <c r="E812" s="45" t="s">
        <v>81</v>
      </c>
      <c r="F812" s="45" t="s">
        <v>96</v>
      </c>
    </row>
    <row r="813" spans="1:6" x14ac:dyDescent="0.3">
      <c r="A813" s="44">
        <v>43693.095787361111</v>
      </c>
      <c r="B813" s="45" t="s">
        <v>52</v>
      </c>
      <c r="C813" s="45">
        <v>20</v>
      </c>
      <c r="D813" s="45">
        <f>VLOOKUP(Добавить1[[#This Row],[Товар]],$G$1:$H$14,2,0)*Добавить1[[#This Row],[количество_единиц_товара]]</f>
        <v>13600</v>
      </c>
      <c r="E813" s="45" t="s">
        <v>80</v>
      </c>
      <c r="F813" s="45" t="s">
        <v>96</v>
      </c>
    </row>
    <row r="814" spans="1:6" x14ac:dyDescent="0.3">
      <c r="A814" s="44">
        <v>43700.692687314811</v>
      </c>
      <c r="B814" s="45" t="s">
        <v>52</v>
      </c>
      <c r="C814" s="45">
        <v>23</v>
      </c>
      <c r="D814" s="45">
        <f>VLOOKUP(Добавить1[[#This Row],[Товар]],$G$1:$H$14,2,0)*Добавить1[[#This Row],[количество_единиц_товара]]</f>
        <v>15640</v>
      </c>
      <c r="E814" s="45" t="s">
        <v>79</v>
      </c>
      <c r="F814" s="45" t="s">
        <v>96</v>
      </c>
    </row>
    <row r="815" spans="1:6" x14ac:dyDescent="0.3">
      <c r="A815" s="44">
        <v>43708.533050995371</v>
      </c>
      <c r="B815" s="45" t="s">
        <v>59</v>
      </c>
      <c r="C815" s="45">
        <v>19</v>
      </c>
      <c r="D815" s="45">
        <f>VLOOKUP(Добавить1[[#This Row],[Товар]],$G$1:$H$14,2,0)*Добавить1[[#This Row],[количество_единиц_товара]]</f>
        <v>38000</v>
      </c>
      <c r="E815" s="45" t="s">
        <v>81</v>
      </c>
      <c r="F815" s="45" t="s">
        <v>96</v>
      </c>
    </row>
    <row r="816" spans="1:6" x14ac:dyDescent="0.3">
      <c r="A816" s="44">
        <v>43708.605315208333</v>
      </c>
      <c r="B816" s="45" t="s">
        <v>52</v>
      </c>
      <c r="C816" s="45">
        <v>18</v>
      </c>
      <c r="D816" s="45">
        <f>VLOOKUP(Добавить1[[#This Row],[Товар]],$G$1:$H$14,2,0)*Добавить1[[#This Row],[количество_единиц_товара]]</f>
        <v>12240</v>
      </c>
      <c r="E816" s="45" t="s">
        <v>81</v>
      </c>
      <c r="F816" s="45" t="s">
        <v>96</v>
      </c>
    </row>
    <row r="817" spans="1:6" x14ac:dyDescent="0.3">
      <c r="A817" s="44">
        <v>43711.65672201389</v>
      </c>
      <c r="B817" s="45" t="s">
        <v>52</v>
      </c>
      <c r="C817" s="45">
        <v>24</v>
      </c>
      <c r="D817" s="45">
        <f>VLOOKUP(Добавить1[[#This Row],[Товар]],$G$1:$H$14,2,0)*Добавить1[[#This Row],[количество_единиц_товара]]</f>
        <v>16320</v>
      </c>
      <c r="E817" s="45" t="s">
        <v>80</v>
      </c>
      <c r="F817" s="45" t="s">
        <v>96</v>
      </c>
    </row>
    <row r="818" spans="1:6" x14ac:dyDescent="0.3">
      <c r="A818" s="44">
        <v>43714.919220891206</v>
      </c>
      <c r="B818" s="45" t="s">
        <v>56</v>
      </c>
      <c r="C818" s="45">
        <v>29</v>
      </c>
      <c r="D818" s="45">
        <f>VLOOKUP(Добавить1[[#This Row],[Товар]],$G$1:$H$14,2,0)*Добавить1[[#This Row],[количество_единиц_товара]]</f>
        <v>46400</v>
      </c>
      <c r="E818" s="45" t="s">
        <v>79</v>
      </c>
      <c r="F818" s="45" t="s">
        <v>96</v>
      </c>
    </row>
    <row r="819" spans="1:6" x14ac:dyDescent="0.3">
      <c r="A819" s="44">
        <v>43719.327395902779</v>
      </c>
      <c r="B819" s="45" t="s">
        <v>52</v>
      </c>
      <c r="C819" s="45">
        <v>34</v>
      </c>
      <c r="D819" s="45">
        <f>VLOOKUP(Добавить1[[#This Row],[Товар]],$G$1:$H$14,2,0)*Добавить1[[#This Row],[количество_единиц_товара]]</f>
        <v>23120</v>
      </c>
      <c r="E819" s="45" t="s">
        <v>81</v>
      </c>
      <c r="F819" s="45" t="s">
        <v>96</v>
      </c>
    </row>
    <row r="820" spans="1:6" x14ac:dyDescent="0.3">
      <c r="A820" s="44">
        <v>43723.681814583331</v>
      </c>
      <c r="B820" s="45" t="s">
        <v>58</v>
      </c>
      <c r="C820" s="45">
        <v>22</v>
      </c>
      <c r="D820" s="45">
        <f>VLOOKUP(Добавить1[[#This Row],[Товар]],$G$1:$H$14,2,0)*Добавить1[[#This Row],[количество_единиц_товара]]</f>
        <v>98010</v>
      </c>
      <c r="E820" s="45" t="s">
        <v>80</v>
      </c>
      <c r="F820" s="45" t="s">
        <v>96</v>
      </c>
    </row>
    <row r="821" spans="1:6" x14ac:dyDescent="0.3">
      <c r="A821" s="44">
        <v>43726.426141701391</v>
      </c>
      <c r="B821" s="45" t="s">
        <v>51</v>
      </c>
      <c r="C821" s="45">
        <v>16</v>
      </c>
      <c r="D821" s="45">
        <f>VLOOKUP(Добавить1[[#This Row],[Товар]],$G$1:$H$14,2,0)*Добавить1[[#This Row],[количество_единиц_товара]]</f>
        <v>40960</v>
      </c>
      <c r="E821" s="45" t="s">
        <v>79</v>
      </c>
      <c r="F821" s="45" t="s">
        <v>96</v>
      </c>
    </row>
    <row r="822" spans="1:6" x14ac:dyDescent="0.3">
      <c r="A822" s="44">
        <v>43737.59406787037</v>
      </c>
      <c r="B822" s="45" t="s">
        <v>54</v>
      </c>
      <c r="C822" s="45">
        <v>16</v>
      </c>
      <c r="D822" s="45">
        <f>VLOOKUP(Добавить1[[#This Row],[Товар]],$G$1:$H$14,2,0)*Добавить1[[#This Row],[количество_единиц_товара]]</f>
        <v>39200</v>
      </c>
      <c r="E822" s="45" t="s">
        <v>81</v>
      </c>
      <c r="F822" s="45" t="s">
        <v>96</v>
      </c>
    </row>
    <row r="823" spans="1:6" x14ac:dyDescent="0.3">
      <c r="A823" s="44">
        <v>43744.720022673609</v>
      </c>
      <c r="B823" s="45" t="s">
        <v>52</v>
      </c>
      <c r="C823" s="45">
        <v>39</v>
      </c>
      <c r="D823" s="45">
        <f>VLOOKUP(Добавить1[[#This Row],[Товар]],$G$1:$H$14,2,0)*Добавить1[[#This Row],[количество_единиц_товара]]</f>
        <v>26520</v>
      </c>
      <c r="E823" s="45" t="s">
        <v>80</v>
      </c>
      <c r="F823" s="45" t="s">
        <v>96</v>
      </c>
    </row>
    <row r="824" spans="1:6" x14ac:dyDescent="0.3">
      <c r="A824" s="44">
        <v>43757.850874895834</v>
      </c>
      <c r="B824" s="45" t="s">
        <v>58</v>
      </c>
      <c r="C824" s="45">
        <v>16</v>
      </c>
      <c r="D824" s="45">
        <f>VLOOKUP(Добавить1[[#This Row],[Товар]],$G$1:$H$14,2,0)*Добавить1[[#This Row],[количество_единиц_товара]]</f>
        <v>71280</v>
      </c>
      <c r="E824" s="45" t="s">
        <v>81</v>
      </c>
      <c r="F824" s="45" t="s">
        <v>96</v>
      </c>
    </row>
    <row r="825" spans="1:6" x14ac:dyDescent="0.3">
      <c r="A825" s="44">
        <v>43760.519132905094</v>
      </c>
      <c r="B825" s="45" t="s">
        <v>52</v>
      </c>
      <c r="C825" s="45">
        <v>12</v>
      </c>
      <c r="D825" s="45">
        <f>VLOOKUP(Добавить1[[#This Row],[Товар]],$G$1:$H$14,2,0)*Добавить1[[#This Row],[количество_единиц_товара]]</f>
        <v>8160</v>
      </c>
      <c r="E825" s="45" t="s">
        <v>81</v>
      </c>
      <c r="F825" s="45" t="s">
        <v>96</v>
      </c>
    </row>
    <row r="826" spans="1:6" x14ac:dyDescent="0.3">
      <c r="A826" s="44">
        <v>43764.56261734954</v>
      </c>
      <c r="B826" s="45" t="s">
        <v>49</v>
      </c>
      <c r="C826" s="45">
        <v>16</v>
      </c>
      <c r="D826" s="45">
        <f>VLOOKUP(Добавить1[[#This Row],[Товар]],$G$1:$H$14,2,0)*Добавить1[[#This Row],[количество_единиц_товара]]</f>
        <v>49600</v>
      </c>
      <c r="E826" s="45" t="s">
        <v>81</v>
      </c>
      <c r="F826" s="45" t="s">
        <v>96</v>
      </c>
    </row>
    <row r="827" spans="1:6" x14ac:dyDescent="0.3">
      <c r="A827" s="44">
        <v>43768.420984259261</v>
      </c>
      <c r="B827" s="45" t="s">
        <v>59</v>
      </c>
      <c r="C827" s="45">
        <v>14</v>
      </c>
      <c r="D827" s="45">
        <f>VLOOKUP(Добавить1[[#This Row],[Товар]],$G$1:$H$14,2,0)*Добавить1[[#This Row],[количество_единиц_товара]]</f>
        <v>28000</v>
      </c>
      <c r="E827" s="45" t="s">
        <v>81</v>
      </c>
      <c r="F827" s="45" t="s">
        <v>96</v>
      </c>
    </row>
    <row r="828" spans="1:6" x14ac:dyDescent="0.3">
      <c r="A828" s="44">
        <v>43772.203643055553</v>
      </c>
      <c r="B828" s="45" t="s">
        <v>58</v>
      </c>
      <c r="C828" s="45">
        <v>40</v>
      </c>
      <c r="D828" s="45">
        <f>VLOOKUP(Добавить1[[#This Row],[Товар]],$G$1:$H$14,2,0)*Добавить1[[#This Row],[количество_единиц_товара]]</f>
        <v>178200</v>
      </c>
      <c r="E828" s="45" t="s">
        <v>79</v>
      </c>
      <c r="F828" s="45" t="s">
        <v>96</v>
      </c>
    </row>
    <row r="829" spans="1:6" x14ac:dyDescent="0.3">
      <c r="A829" s="44">
        <v>43784.344504293978</v>
      </c>
      <c r="B829" s="45" t="s">
        <v>51</v>
      </c>
      <c r="C829" s="45">
        <v>27</v>
      </c>
      <c r="D829" s="45">
        <f>VLOOKUP(Добавить1[[#This Row],[Товар]],$G$1:$H$14,2,0)*Добавить1[[#This Row],[количество_единиц_товара]]</f>
        <v>69120</v>
      </c>
      <c r="E829" s="45" t="s">
        <v>79</v>
      </c>
      <c r="F829" s="45" t="s">
        <v>96</v>
      </c>
    </row>
    <row r="830" spans="1:6" x14ac:dyDescent="0.3">
      <c r="A830" s="44">
        <v>43792.781134791665</v>
      </c>
      <c r="B830" s="45" t="s">
        <v>58</v>
      </c>
      <c r="C830" s="45">
        <v>16</v>
      </c>
      <c r="D830" s="45">
        <f>VLOOKUP(Добавить1[[#This Row],[Товар]],$G$1:$H$14,2,0)*Добавить1[[#This Row],[количество_единиц_товара]]</f>
        <v>71280</v>
      </c>
      <c r="E830" s="45" t="s">
        <v>81</v>
      </c>
      <c r="F830" s="45" t="s">
        <v>96</v>
      </c>
    </row>
    <row r="831" spans="1:6" x14ac:dyDescent="0.3">
      <c r="A831" s="44">
        <v>43796.915766122685</v>
      </c>
      <c r="B831" s="45" t="s">
        <v>51</v>
      </c>
      <c r="C831" s="45">
        <v>10</v>
      </c>
      <c r="D831" s="45">
        <f>VLOOKUP(Добавить1[[#This Row],[Товар]],$G$1:$H$14,2,0)*Добавить1[[#This Row],[количество_единиц_товара]]</f>
        <v>25600</v>
      </c>
      <c r="E831" s="45" t="s">
        <v>80</v>
      </c>
      <c r="F831" s="45" t="s">
        <v>96</v>
      </c>
    </row>
    <row r="832" spans="1:6" x14ac:dyDescent="0.3">
      <c r="A832" s="44">
        <v>43864.884237754632</v>
      </c>
      <c r="B832" s="45" t="s">
        <v>58</v>
      </c>
      <c r="C832" s="45">
        <v>15</v>
      </c>
      <c r="D832" s="45">
        <f>VLOOKUP(Добавить1[[#This Row],[Товар]],$G$1:$H$14,2,0)*Добавить1[[#This Row],[количество_единиц_товара]]</f>
        <v>66825</v>
      </c>
      <c r="E832" s="45" t="s">
        <v>79</v>
      </c>
      <c r="F832" s="45" t="s">
        <v>96</v>
      </c>
    </row>
    <row r="833" spans="1:6" x14ac:dyDescent="0.3">
      <c r="A833" s="44">
        <v>43899.694888969905</v>
      </c>
      <c r="B833" s="45" t="s">
        <v>60</v>
      </c>
      <c r="C833" s="45">
        <v>35</v>
      </c>
      <c r="D833" s="45">
        <f>VLOOKUP(Добавить1[[#This Row],[Товар]],$G$1:$H$14,2,0)*Добавить1[[#This Row],[количество_единиц_товара]]</f>
        <v>202615</v>
      </c>
      <c r="E833" s="45" t="s">
        <v>80</v>
      </c>
      <c r="F833" s="45" t="s">
        <v>96</v>
      </c>
    </row>
    <row r="834" spans="1:6" x14ac:dyDescent="0.3">
      <c r="A834" s="44">
        <v>43902.918889247689</v>
      </c>
      <c r="B834" s="45" t="s">
        <v>49</v>
      </c>
      <c r="C834" s="45">
        <v>18</v>
      </c>
      <c r="D834" s="45">
        <f>VLOOKUP(Добавить1[[#This Row],[Товар]],$G$1:$H$14,2,0)*Добавить1[[#This Row],[количество_единиц_товара]]</f>
        <v>55800</v>
      </c>
      <c r="E834" s="45" t="s">
        <v>80</v>
      </c>
      <c r="F834" s="45" t="s">
        <v>96</v>
      </c>
    </row>
    <row r="835" spans="1:6" x14ac:dyDescent="0.3">
      <c r="A835" s="44">
        <v>43915.454071712964</v>
      </c>
      <c r="B835" s="45" t="s">
        <v>50</v>
      </c>
      <c r="C835" s="45">
        <v>21</v>
      </c>
      <c r="D835" s="45">
        <f>VLOOKUP(Добавить1[[#This Row],[Товар]],$G$1:$H$14,2,0)*Добавить1[[#This Row],[количество_единиц_товара]]</f>
        <v>46200</v>
      </c>
      <c r="E835" s="45" t="s">
        <v>80</v>
      </c>
      <c r="F835" s="45" t="s">
        <v>96</v>
      </c>
    </row>
    <row r="836" spans="1:6" x14ac:dyDescent="0.3">
      <c r="A836" s="44">
        <v>43920.27524880787</v>
      </c>
      <c r="B836" s="45" t="s">
        <v>49</v>
      </c>
      <c r="C836" s="45">
        <v>32</v>
      </c>
      <c r="D836" s="45">
        <f>VLOOKUP(Добавить1[[#This Row],[Товар]],$G$1:$H$14,2,0)*Добавить1[[#This Row],[количество_единиц_товара]]</f>
        <v>99200</v>
      </c>
      <c r="E836" s="45" t="s">
        <v>79</v>
      </c>
      <c r="F836" s="45" t="s">
        <v>96</v>
      </c>
    </row>
    <row r="837" spans="1:6" x14ac:dyDescent="0.3">
      <c r="A837" s="44">
        <v>43936.125624004628</v>
      </c>
      <c r="B837" s="45" t="s">
        <v>54</v>
      </c>
      <c r="C837" s="45">
        <v>35</v>
      </c>
      <c r="D837" s="45">
        <f>VLOOKUP(Добавить1[[#This Row],[Товар]],$G$1:$H$14,2,0)*Добавить1[[#This Row],[количество_единиц_товара]]</f>
        <v>85750</v>
      </c>
      <c r="E837" s="45" t="s">
        <v>81</v>
      </c>
      <c r="F837" s="45" t="s">
        <v>96</v>
      </c>
    </row>
    <row r="838" spans="1:6" x14ac:dyDescent="0.3">
      <c r="A838" s="44">
        <v>43939.401862256942</v>
      </c>
      <c r="B838" s="45" t="s">
        <v>51</v>
      </c>
      <c r="C838" s="45">
        <v>14</v>
      </c>
      <c r="D838" s="45">
        <f>VLOOKUP(Добавить1[[#This Row],[Товар]],$G$1:$H$14,2,0)*Добавить1[[#This Row],[количество_единиц_товара]]</f>
        <v>35840</v>
      </c>
      <c r="E838" s="45" t="s">
        <v>80</v>
      </c>
      <c r="F838" s="45" t="s">
        <v>96</v>
      </c>
    </row>
    <row r="839" spans="1:6" x14ac:dyDescent="0.3">
      <c r="A839" s="44">
        <v>43956.49199988426</v>
      </c>
      <c r="B839" s="45" t="s">
        <v>50</v>
      </c>
      <c r="C839" s="45">
        <v>27</v>
      </c>
      <c r="D839" s="45">
        <f>VLOOKUP(Добавить1[[#This Row],[Товар]],$G$1:$H$14,2,0)*Добавить1[[#This Row],[количество_единиц_товара]]</f>
        <v>59400</v>
      </c>
      <c r="E839" s="45" t="s">
        <v>80</v>
      </c>
      <c r="F839" s="45" t="s">
        <v>96</v>
      </c>
    </row>
    <row r="840" spans="1:6" x14ac:dyDescent="0.3">
      <c r="A840" s="44">
        <v>43966.497899942129</v>
      </c>
      <c r="B840" s="45" t="s">
        <v>61</v>
      </c>
      <c r="C840" s="45">
        <v>35</v>
      </c>
      <c r="D840" s="45">
        <f>VLOOKUP(Добавить1[[#This Row],[Товар]],$G$1:$H$14,2,0)*Добавить1[[#This Row],[количество_единиц_товара]]</f>
        <v>121450</v>
      </c>
      <c r="E840" s="45" t="s">
        <v>80</v>
      </c>
      <c r="F840" s="45" t="s">
        <v>96</v>
      </c>
    </row>
    <row r="841" spans="1:6" x14ac:dyDescent="0.3">
      <c r="A841" s="44">
        <v>43969.982601747688</v>
      </c>
      <c r="B841" s="45" t="s">
        <v>54</v>
      </c>
      <c r="C841" s="45">
        <v>13</v>
      </c>
      <c r="D841" s="45">
        <f>VLOOKUP(Добавить1[[#This Row],[Товар]],$G$1:$H$14,2,0)*Добавить1[[#This Row],[количество_единиц_товара]]</f>
        <v>31850</v>
      </c>
      <c r="E841" s="45" t="s">
        <v>79</v>
      </c>
      <c r="F841" s="45" t="s">
        <v>96</v>
      </c>
    </row>
    <row r="842" spans="1:6" x14ac:dyDescent="0.3">
      <c r="A842" s="44">
        <v>43986.428039826387</v>
      </c>
      <c r="B842" s="45" t="s">
        <v>52</v>
      </c>
      <c r="C842" s="45">
        <v>22</v>
      </c>
      <c r="D842" s="45">
        <f>VLOOKUP(Добавить1[[#This Row],[Товар]],$G$1:$H$14,2,0)*Добавить1[[#This Row],[количество_единиц_товара]]</f>
        <v>14960</v>
      </c>
      <c r="E842" s="45" t="s">
        <v>81</v>
      </c>
      <c r="F842" s="45" t="s">
        <v>96</v>
      </c>
    </row>
    <row r="843" spans="1:6" x14ac:dyDescent="0.3">
      <c r="A843" s="44">
        <v>43989.355363472219</v>
      </c>
      <c r="B843" s="45" t="s">
        <v>56</v>
      </c>
      <c r="C843" s="45">
        <v>27</v>
      </c>
      <c r="D843" s="45">
        <f>VLOOKUP(Добавить1[[#This Row],[Товар]],$G$1:$H$14,2,0)*Добавить1[[#This Row],[количество_единиц_товара]]</f>
        <v>43200</v>
      </c>
      <c r="E843" s="45" t="s">
        <v>80</v>
      </c>
      <c r="F843" s="45" t="s">
        <v>96</v>
      </c>
    </row>
    <row r="844" spans="1:6" x14ac:dyDescent="0.3">
      <c r="A844" s="44">
        <v>43990.458386956016</v>
      </c>
      <c r="B844" s="45" t="s">
        <v>49</v>
      </c>
      <c r="C844" s="45">
        <v>27</v>
      </c>
      <c r="D844" s="45">
        <f>VLOOKUP(Добавить1[[#This Row],[Товар]],$G$1:$H$14,2,0)*Добавить1[[#This Row],[количество_единиц_товара]]</f>
        <v>83700</v>
      </c>
      <c r="E844" s="45" t="s">
        <v>80</v>
      </c>
      <c r="F844" s="45" t="s">
        <v>96</v>
      </c>
    </row>
    <row r="845" spans="1:6" x14ac:dyDescent="0.3">
      <c r="A845" s="44">
        <v>43991.832731712966</v>
      </c>
      <c r="B845" s="45" t="s">
        <v>51</v>
      </c>
      <c r="C845" s="45">
        <v>16</v>
      </c>
      <c r="D845" s="45">
        <f>VLOOKUP(Добавить1[[#This Row],[Товар]],$G$1:$H$14,2,0)*Добавить1[[#This Row],[количество_единиц_товара]]</f>
        <v>40960</v>
      </c>
      <c r="E845" s="45" t="s">
        <v>80</v>
      </c>
      <c r="F845" s="45" t="s">
        <v>96</v>
      </c>
    </row>
    <row r="846" spans="1:6" x14ac:dyDescent="0.3">
      <c r="A846" s="44">
        <v>44001.448129212964</v>
      </c>
      <c r="B846" s="45" t="s">
        <v>56</v>
      </c>
      <c r="C846" s="45">
        <v>24</v>
      </c>
      <c r="D846" s="45">
        <f>VLOOKUP(Добавить1[[#This Row],[Товар]],$G$1:$H$14,2,0)*Добавить1[[#This Row],[количество_единиц_товара]]</f>
        <v>38400</v>
      </c>
      <c r="E846" s="45" t="s">
        <v>79</v>
      </c>
      <c r="F846" s="45" t="s">
        <v>96</v>
      </c>
    </row>
    <row r="847" spans="1:6" x14ac:dyDescent="0.3">
      <c r="A847" s="44">
        <v>44004.22135010417</v>
      </c>
      <c r="B847" s="45" t="s">
        <v>52</v>
      </c>
      <c r="C847" s="45">
        <v>28</v>
      </c>
      <c r="D847" s="45">
        <f>VLOOKUP(Добавить1[[#This Row],[Товар]],$G$1:$H$14,2,0)*Добавить1[[#This Row],[количество_единиц_товара]]</f>
        <v>19040</v>
      </c>
      <c r="E847" s="45" t="s">
        <v>81</v>
      </c>
      <c r="F847" s="45" t="s">
        <v>96</v>
      </c>
    </row>
    <row r="848" spans="1:6" x14ac:dyDescent="0.3">
      <c r="A848" s="44">
        <v>44008.812411678242</v>
      </c>
      <c r="B848" s="45" t="s">
        <v>54</v>
      </c>
      <c r="C848" s="45">
        <v>39</v>
      </c>
      <c r="D848" s="45">
        <f>VLOOKUP(Добавить1[[#This Row],[Товар]],$G$1:$H$14,2,0)*Добавить1[[#This Row],[количество_единиц_товара]]</f>
        <v>95550</v>
      </c>
      <c r="E848" s="45" t="s">
        <v>80</v>
      </c>
      <c r="F848" s="45" t="s">
        <v>96</v>
      </c>
    </row>
    <row r="849" spans="1:6" x14ac:dyDescent="0.3">
      <c r="A849" s="44">
        <v>44015.419430648151</v>
      </c>
      <c r="B849" s="45" t="s">
        <v>60</v>
      </c>
      <c r="C849" s="45">
        <v>31</v>
      </c>
      <c r="D849" s="45">
        <f>VLOOKUP(Добавить1[[#This Row],[Товар]],$G$1:$H$14,2,0)*Добавить1[[#This Row],[количество_единиц_товара]]</f>
        <v>179459</v>
      </c>
      <c r="E849" s="45" t="s">
        <v>80</v>
      </c>
      <c r="F849" s="45" t="s">
        <v>96</v>
      </c>
    </row>
    <row r="850" spans="1:6" x14ac:dyDescent="0.3">
      <c r="A850" s="44">
        <v>44030.289271516202</v>
      </c>
      <c r="B850" s="45" t="s">
        <v>58</v>
      </c>
      <c r="C850" s="45">
        <v>10</v>
      </c>
      <c r="D850" s="45">
        <f>VLOOKUP(Добавить1[[#This Row],[Товар]],$G$1:$H$14,2,0)*Добавить1[[#This Row],[количество_единиц_товара]]</f>
        <v>44550</v>
      </c>
      <c r="E850" s="45" t="s">
        <v>80</v>
      </c>
      <c r="F850" s="45" t="s">
        <v>96</v>
      </c>
    </row>
    <row r="851" spans="1:6" x14ac:dyDescent="0.3">
      <c r="A851" s="44">
        <v>44041.621101168981</v>
      </c>
      <c r="B851" s="45" t="s">
        <v>51</v>
      </c>
      <c r="C851" s="45">
        <v>15</v>
      </c>
      <c r="D851" s="45">
        <f>VLOOKUP(Добавить1[[#This Row],[Товар]],$G$1:$H$14,2,0)*Добавить1[[#This Row],[количество_единиц_товара]]</f>
        <v>38400</v>
      </c>
      <c r="E851" s="45" t="s">
        <v>79</v>
      </c>
      <c r="F851" s="45" t="s">
        <v>96</v>
      </c>
    </row>
    <row r="852" spans="1:6" x14ac:dyDescent="0.3">
      <c r="A852" s="44">
        <v>44045.92231465278</v>
      </c>
      <c r="B852" s="45" t="s">
        <v>59</v>
      </c>
      <c r="C852" s="45">
        <v>25</v>
      </c>
      <c r="D852" s="45">
        <f>VLOOKUP(Добавить1[[#This Row],[Товар]],$G$1:$H$14,2,0)*Добавить1[[#This Row],[количество_единиц_товара]]</f>
        <v>50000</v>
      </c>
      <c r="E852" s="45" t="s">
        <v>81</v>
      </c>
      <c r="F852" s="45" t="s">
        <v>96</v>
      </c>
    </row>
    <row r="853" spans="1:6" x14ac:dyDescent="0.3">
      <c r="A853" s="44">
        <v>44052.687829699076</v>
      </c>
      <c r="B853" s="45" t="s">
        <v>49</v>
      </c>
      <c r="C853" s="45">
        <v>39</v>
      </c>
      <c r="D853" s="45">
        <f>VLOOKUP(Добавить1[[#This Row],[Товар]],$G$1:$H$14,2,0)*Добавить1[[#This Row],[количество_единиц_товара]]</f>
        <v>120900</v>
      </c>
      <c r="E853" s="45" t="s">
        <v>80</v>
      </c>
      <c r="F853" s="45" t="s">
        <v>96</v>
      </c>
    </row>
    <row r="854" spans="1:6" x14ac:dyDescent="0.3">
      <c r="A854" s="44">
        <v>44066.050896597226</v>
      </c>
      <c r="B854" s="45" t="s">
        <v>54</v>
      </c>
      <c r="C854" s="45">
        <v>35</v>
      </c>
      <c r="D854" s="45">
        <f>VLOOKUP(Добавить1[[#This Row],[Товар]],$G$1:$H$14,2,0)*Добавить1[[#This Row],[количество_единиц_товара]]</f>
        <v>85750</v>
      </c>
      <c r="E854" s="45" t="s">
        <v>81</v>
      </c>
      <c r="F854" s="45" t="s">
        <v>96</v>
      </c>
    </row>
    <row r="855" spans="1:6" x14ac:dyDescent="0.3">
      <c r="A855" s="44">
        <v>44069.69589678241</v>
      </c>
      <c r="B855" s="45" t="s">
        <v>56</v>
      </c>
      <c r="C855" s="45">
        <v>20</v>
      </c>
      <c r="D855" s="45">
        <f>VLOOKUP(Добавить1[[#This Row],[Товар]],$G$1:$H$14,2,0)*Добавить1[[#This Row],[количество_единиц_товара]]</f>
        <v>32000</v>
      </c>
      <c r="E855" s="45" t="s">
        <v>80</v>
      </c>
      <c r="F855" s="45" t="s">
        <v>96</v>
      </c>
    </row>
    <row r="856" spans="1:6" x14ac:dyDescent="0.3">
      <c r="A856" s="44">
        <v>44081.622037407411</v>
      </c>
      <c r="B856" s="45" t="s">
        <v>52</v>
      </c>
      <c r="C856" s="45">
        <v>32</v>
      </c>
      <c r="D856" s="45">
        <f>VLOOKUP(Добавить1[[#This Row],[Товар]],$G$1:$H$14,2,0)*Добавить1[[#This Row],[количество_единиц_товара]]</f>
        <v>21760</v>
      </c>
      <c r="E856" s="45" t="s">
        <v>81</v>
      </c>
      <c r="F856" s="45" t="s">
        <v>96</v>
      </c>
    </row>
    <row r="857" spans="1:6" x14ac:dyDescent="0.3">
      <c r="A857" s="44">
        <v>44102.651064687503</v>
      </c>
      <c r="B857" s="45" t="s">
        <v>53</v>
      </c>
      <c r="C857" s="45">
        <v>36</v>
      </c>
      <c r="D857" s="45">
        <f>VLOOKUP(Добавить1[[#This Row],[Товар]],$G$1:$H$14,2,0)*Добавить1[[#This Row],[количество_единиц_товара]]</f>
        <v>64368</v>
      </c>
      <c r="E857" s="45" t="s">
        <v>81</v>
      </c>
      <c r="F857" s="45" t="s">
        <v>96</v>
      </c>
    </row>
    <row r="858" spans="1:6" x14ac:dyDescent="0.3">
      <c r="A858" s="44">
        <v>44107.136659837961</v>
      </c>
      <c r="B858" s="45" t="s">
        <v>55</v>
      </c>
      <c r="C858" s="45">
        <v>37</v>
      </c>
      <c r="D858" s="45">
        <f>VLOOKUP(Добавить1[[#This Row],[Товар]],$G$1:$H$14,2,0)*Добавить1[[#This Row],[количество_единиц_товара]]</f>
        <v>166500</v>
      </c>
      <c r="E858" s="45" t="s">
        <v>81</v>
      </c>
      <c r="F858" s="45" t="s">
        <v>96</v>
      </c>
    </row>
    <row r="859" spans="1:6" x14ac:dyDescent="0.3">
      <c r="A859" s="44">
        <v>44110.031691747688</v>
      </c>
      <c r="B859" s="45" t="s">
        <v>56</v>
      </c>
      <c r="C859" s="45">
        <v>32</v>
      </c>
      <c r="D859" s="45">
        <f>VLOOKUP(Добавить1[[#This Row],[Товар]],$G$1:$H$14,2,0)*Добавить1[[#This Row],[количество_единиц_товара]]</f>
        <v>51200</v>
      </c>
      <c r="E859" s="45" t="s">
        <v>81</v>
      </c>
      <c r="F859" s="45" t="s">
        <v>96</v>
      </c>
    </row>
    <row r="860" spans="1:6" x14ac:dyDescent="0.3">
      <c r="A860" s="44">
        <v>44112.563576388886</v>
      </c>
      <c r="B860" s="45" t="s">
        <v>54</v>
      </c>
      <c r="C860" s="45">
        <v>17</v>
      </c>
      <c r="D860" s="45">
        <f>VLOOKUP(Добавить1[[#This Row],[Товар]],$G$1:$H$14,2,0)*Добавить1[[#This Row],[количество_единиц_товара]]</f>
        <v>41650</v>
      </c>
      <c r="E860" s="45" t="s">
        <v>81</v>
      </c>
      <c r="F860" s="45" t="s">
        <v>96</v>
      </c>
    </row>
    <row r="861" spans="1:6" x14ac:dyDescent="0.3">
      <c r="A861" s="44">
        <v>44113.335890335649</v>
      </c>
      <c r="B861" s="45" t="s">
        <v>56</v>
      </c>
      <c r="C861" s="45">
        <v>25</v>
      </c>
      <c r="D861" s="45">
        <f>VLOOKUP(Добавить1[[#This Row],[Товар]],$G$1:$H$14,2,0)*Добавить1[[#This Row],[количество_единиц_товара]]</f>
        <v>40000</v>
      </c>
      <c r="E861" s="45" t="s">
        <v>81</v>
      </c>
      <c r="F861" s="45" t="s">
        <v>96</v>
      </c>
    </row>
    <row r="862" spans="1:6" x14ac:dyDescent="0.3">
      <c r="A862" s="44">
        <v>44117.34589892361</v>
      </c>
      <c r="B862" s="45" t="s">
        <v>50</v>
      </c>
      <c r="C862" s="45">
        <v>24</v>
      </c>
      <c r="D862" s="45">
        <f>VLOOKUP(Добавить1[[#This Row],[Товар]],$G$1:$H$14,2,0)*Добавить1[[#This Row],[количество_единиц_товара]]</f>
        <v>52800</v>
      </c>
      <c r="E862" s="45" t="s">
        <v>81</v>
      </c>
      <c r="F862" s="45" t="s">
        <v>96</v>
      </c>
    </row>
    <row r="863" spans="1:6" x14ac:dyDescent="0.3">
      <c r="A863" s="44">
        <v>44126.563184953702</v>
      </c>
      <c r="B863" s="45" t="s">
        <v>55</v>
      </c>
      <c r="C863" s="45">
        <v>15</v>
      </c>
      <c r="D863" s="45">
        <f>VLOOKUP(Добавить1[[#This Row],[Товар]],$G$1:$H$14,2,0)*Добавить1[[#This Row],[количество_единиц_товара]]</f>
        <v>67500</v>
      </c>
      <c r="E863" s="45" t="s">
        <v>81</v>
      </c>
      <c r="F863" s="45" t="s">
        <v>96</v>
      </c>
    </row>
    <row r="864" spans="1:6" x14ac:dyDescent="0.3">
      <c r="A864" s="44">
        <v>44137.662696608793</v>
      </c>
      <c r="B864" s="45" t="s">
        <v>61</v>
      </c>
      <c r="C864" s="45">
        <v>25</v>
      </c>
      <c r="D864" s="45">
        <f>VLOOKUP(Добавить1[[#This Row],[Товар]],$G$1:$H$14,2,0)*Добавить1[[#This Row],[количество_единиц_товара]]</f>
        <v>86750</v>
      </c>
      <c r="E864" s="45" t="s">
        <v>81</v>
      </c>
      <c r="F864" s="45" t="s">
        <v>96</v>
      </c>
    </row>
    <row r="865" spans="1:6" x14ac:dyDescent="0.3">
      <c r="A865" s="44">
        <v>44148.313808310188</v>
      </c>
      <c r="B865" s="45" t="s">
        <v>56</v>
      </c>
      <c r="C865" s="45">
        <v>11</v>
      </c>
      <c r="D865" s="45">
        <f>VLOOKUP(Добавить1[[#This Row],[Товар]],$G$1:$H$14,2,0)*Добавить1[[#This Row],[количество_единиц_товара]]</f>
        <v>17600</v>
      </c>
      <c r="E865" s="45" t="s">
        <v>81</v>
      </c>
      <c r="F865" s="45" t="s">
        <v>96</v>
      </c>
    </row>
    <row r="866" spans="1:6" x14ac:dyDescent="0.3">
      <c r="A866" s="44">
        <v>44180.928446041667</v>
      </c>
      <c r="B866" s="45" t="s">
        <v>56</v>
      </c>
      <c r="C866" s="45">
        <v>37</v>
      </c>
      <c r="D866" s="45">
        <f>VLOOKUP(Добавить1[[#This Row],[Товар]],$G$1:$H$14,2,0)*Добавить1[[#This Row],[количество_единиц_товара]]</f>
        <v>59200</v>
      </c>
      <c r="E866" s="45" t="s">
        <v>80</v>
      </c>
      <c r="F866" s="45" t="s">
        <v>96</v>
      </c>
    </row>
    <row r="867" spans="1:6" x14ac:dyDescent="0.3">
      <c r="A867" s="44">
        <v>44194.498688912034</v>
      </c>
      <c r="B867" s="45" t="s">
        <v>59</v>
      </c>
      <c r="C867" s="45">
        <v>12</v>
      </c>
      <c r="D867" s="45">
        <f>VLOOKUP(Добавить1[[#This Row],[Товар]],$G$1:$H$14,2,0)*Добавить1[[#This Row],[количество_единиц_товара]]</f>
        <v>24000</v>
      </c>
      <c r="E867" s="45" t="s">
        <v>79</v>
      </c>
      <c r="F867" s="45" t="s">
        <v>96</v>
      </c>
    </row>
    <row r="868" spans="1:6" x14ac:dyDescent="0.3">
      <c r="A868" s="44">
        <v>44217.541468668984</v>
      </c>
      <c r="B868" s="45" t="s">
        <v>51</v>
      </c>
      <c r="C868" s="45">
        <v>28</v>
      </c>
      <c r="D868" s="45">
        <f>VLOOKUP(Добавить1[[#This Row],[Товар]],$G$1:$H$14,2,0)*Добавить1[[#This Row],[количество_единиц_товара]]</f>
        <v>71680</v>
      </c>
      <c r="E868" s="45" t="s">
        <v>80</v>
      </c>
      <c r="F868" s="45" t="s">
        <v>96</v>
      </c>
    </row>
    <row r="869" spans="1:6" x14ac:dyDescent="0.3">
      <c r="A869" s="44">
        <v>44229.541586064814</v>
      </c>
      <c r="B869" s="45" t="s">
        <v>49</v>
      </c>
      <c r="C869" s="45">
        <v>16</v>
      </c>
      <c r="D869" s="45">
        <f>VLOOKUP(Добавить1[[#This Row],[Товар]],$G$1:$H$14,2,0)*Добавить1[[#This Row],[количество_единиц_товара]]</f>
        <v>49600</v>
      </c>
      <c r="E869" s="45" t="s">
        <v>79</v>
      </c>
      <c r="F869" s="45" t="s">
        <v>96</v>
      </c>
    </row>
    <row r="870" spans="1:6" x14ac:dyDescent="0.3">
      <c r="A870" s="44">
        <v>44232.450841655096</v>
      </c>
      <c r="B870" s="45" t="s">
        <v>58</v>
      </c>
      <c r="C870" s="45">
        <v>15</v>
      </c>
      <c r="D870" s="45">
        <f>VLOOKUP(Добавить1[[#This Row],[Товар]],$G$1:$H$14,2,0)*Добавить1[[#This Row],[количество_единиц_товара]]</f>
        <v>66825</v>
      </c>
      <c r="E870" s="45" t="s">
        <v>80</v>
      </c>
      <c r="F870" s="45" t="s">
        <v>96</v>
      </c>
    </row>
    <row r="871" spans="1:6" x14ac:dyDescent="0.3">
      <c r="A871" s="44">
        <v>44237.686062280096</v>
      </c>
      <c r="B871" s="45" t="s">
        <v>59</v>
      </c>
      <c r="C871" s="45">
        <v>38</v>
      </c>
      <c r="D871" s="45">
        <f>VLOOKUP(Добавить1[[#This Row],[Товар]],$G$1:$H$14,2,0)*Добавить1[[#This Row],[количество_единиц_товара]]</f>
        <v>76000</v>
      </c>
      <c r="E871" s="45" t="s">
        <v>79</v>
      </c>
      <c r="F871" s="45" t="s">
        <v>96</v>
      </c>
    </row>
    <row r="872" spans="1:6" x14ac:dyDescent="0.3">
      <c r="A872" s="44">
        <v>44252.026962557873</v>
      </c>
      <c r="B872" s="45" t="s">
        <v>53</v>
      </c>
      <c r="C872" s="45">
        <v>18</v>
      </c>
      <c r="D872" s="45">
        <f>VLOOKUP(Добавить1[[#This Row],[Товар]],$G$1:$H$14,2,0)*Добавить1[[#This Row],[количество_единиц_товара]]</f>
        <v>32184</v>
      </c>
      <c r="E872" s="45" t="s">
        <v>80</v>
      </c>
      <c r="F872" s="45" t="s">
        <v>96</v>
      </c>
    </row>
    <row r="873" spans="1:6" x14ac:dyDescent="0.3">
      <c r="A873" s="44">
        <v>44260.335488888886</v>
      </c>
      <c r="B873" s="45" t="s">
        <v>55</v>
      </c>
      <c r="C873" s="45">
        <v>14</v>
      </c>
      <c r="D873" s="45">
        <f>VLOOKUP(Добавить1[[#This Row],[Товар]],$G$1:$H$14,2,0)*Добавить1[[#This Row],[количество_единиц_товара]]</f>
        <v>63000</v>
      </c>
      <c r="E873" s="45" t="s">
        <v>79</v>
      </c>
      <c r="F873" s="45" t="s">
        <v>96</v>
      </c>
    </row>
    <row r="874" spans="1:6" x14ac:dyDescent="0.3">
      <c r="A874" s="44">
        <v>44264.711459907405</v>
      </c>
      <c r="B874" s="45" t="s">
        <v>49</v>
      </c>
      <c r="C874" s="45">
        <v>11</v>
      </c>
      <c r="D874" s="45">
        <f>VLOOKUP(Добавить1[[#This Row],[Товар]],$G$1:$H$14,2,0)*Добавить1[[#This Row],[количество_единиц_товара]]</f>
        <v>34100</v>
      </c>
      <c r="E874" s="45" t="s">
        <v>80</v>
      </c>
      <c r="F874" s="45" t="s">
        <v>96</v>
      </c>
    </row>
    <row r="875" spans="1:6" x14ac:dyDescent="0.3">
      <c r="A875" s="44">
        <v>44265.536294930556</v>
      </c>
      <c r="B875" s="45" t="s">
        <v>57</v>
      </c>
      <c r="C875" s="45">
        <v>14</v>
      </c>
      <c r="D875" s="45">
        <f>VLOOKUP(Добавить1[[#This Row],[Товар]],$G$1:$H$14,2,0)*Добавить1[[#This Row],[количество_единиц_товара]]</f>
        <v>53144</v>
      </c>
      <c r="E875" s="45" t="s">
        <v>79</v>
      </c>
      <c r="F875" s="45" t="s">
        <v>96</v>
      </c>
    </row>
    <row r="876" spans="1:6" x14ac:dyDescent="0.3">
      <c r="A876" s="44">
        <v>44271.688110162038</v>
      </c>
      <c r="B876" s="45" t="s">
        <v>60</v>
      </c>
      <c r="C876" s="45">
        <v>23</v>
      </c>
      <c r="D876" s="45">
        <f>VLOOKUP(Добавить1[[#This Row],[Товар]],$G$1:$H$14,2,0)*Добавить1[[#This Row],[количество_единиц_товара]]</f>
        <v>133147</v>
      </c>
      <c r="E876" s="45" t="s">
        <v>80</v>
      </c>
      <c r="F876" s="45" t="s">
        <v>96</v>
      </c>
    </row>
    <row r="877" spans="1:6" x14ac:dyDescent="0.3">
      <c r="A877" s="44">
        <v>44274.19540099537</v>
      </c>
      <c r="B877" s="45" t="s">
        <v>54</v>
      </c>
      <c r="C877" s="45">
        <v>12</v>
      </c>
      <c r="D877" s="45">
        <f>VLOOKUP(Добавить1[[#This Row],[Товар]],$G$1:$H$14,2,0)*Добавить1[[#This Row],[количество_единиц_товара]]</f>
        <v>29400</v>
      </c>
      <c r="E877" s="45" t="s">
        <v>81</v>
      </c>
      <c r="F877" s="45" t="s">
        <v>96</v>
      </c>
    </row>
    <row r="878" spans="1:6" x14ac:dyDescent="0.3">
      <c r="A878" s="44">
        <v>44275.302086516203</v>
      </c>
      <c r="B878" s="45" t="s">
        <v>52</v>
      </c>
      <c r="C878" s="45">
        <v>24</v>
      </c>
      <c r="D878" s="45">
        <f>VLOOKUP(Добавить1[[#This Row],[Товар]],$G$1:$H$14,2,0)*Добавить1[[#This Row],[количество_единиц_товара]]</f>
        <v>16320</v>
      </c>
      <c r="E878" s="45" t="s">
        <v>80</v>
      </c>
      <c r="F878" s="45" t="s">
        <v>96</v>
      </c>
    </row>
    <row r="879" spans="1:6" x14ac:dyDescent="0.3">
      <c r="A879" s="44">
        <v>44283.144410104163</v>
      </c>
      <c r="B879" s="45" t="s">
        <v>49</v>
      </c>
      <c r="C879" s="45">
        <v>36</v>
      </c>
      <c r="D879" s="45">
        <f>VLOOKUP(Добавить1[[#This Row],[Товар]],$G$1:$H$14,2,0)*Добавить1[[#This Row],[количество_единиц_товара]]</f>
        <v>111600</v>
      </c>
      <c r="E879" s="45" t="s">
        <v>81</v>
      </c>
      <c r="F879" s="45" t="s">
        <v>96</v>
      </c>
    </row>
    <row r="880" spans="1:6" x14ac:dyDescent="0.3">
      <c r="A880" s="44">
        <v>44286.319593379631</v>
      </c>
      <c r="B880" s="45" t="s">
        <v>56</v>
      </c>
      <c r="C880" s="45">
        <v>23</v>
      </c>
      <c r="D880" s="45">
        <f>VLOOKUP(Добавить1[[#This Row],[Товар]],$G$1:$H$14,2,0)*Добавить1[[#This Row],[количество_единиц_товара]]</f>
        <v>36800</v>
      </c>
      <c r="E880" s="45" t="s">
        <v>80</v>
      </c>
      <c r="F880" s="45" t="s">
        <v>96</v>
      </c>
    </row>
    <row r="881" spans="1:6" x14ac:dyDescent="0.3">
      <c r="A881" s="44">
        <v>44292.704583541665</v>
      </c>
      <c r="B881" s="45" t="s">
        <v>50</v>
      </c>
      <c r="C881" s="45">
        <v>36</v>
      </c>
      <c r="D881" s="45">
        <f>VLOOKUP(Добавить1[[#This Row],[Товар]],$G$1:$H$14,2,0)*Добавить1[[#This Row],[количество_единиц_товара]]</f>
        <v>79200</v>
      </c>
      <c r="E881" s="45" t="s">
        <v>81</v>
      </c>
      <c r="F881" s="45" t="s">
        <v>96</v>
      </c>
    </row>
    <row r="882" spans="1:6" x14ac:dyDescent="0.3">
      <c r="A882" s="44">
        <v>44323.077586238425</v>
      </c>
      <c r="B882" s="45" t="s">
        <v>51</v>
      </c>
      <c r="C882" s="45">
        <v>24</v>
      </c>
      <c r="D882" s="45">
        <f>VLOOKUP(Добавить1[[#This Row],[Товар]],$G$1:$H$14,2,0)*Добавить1[[#This Row],[количество_единиц_товара]]</f>
        <v>61440</v>
      </c>
      <c r="E882" s="45" t="s">
        <v>80</v>
      </c>
      <c r="F882" s="45" t="s">
        <v>96</v>
      </c>
    </row>
    <row r="883" spans="1:6" x14ac:dyDescent="0.3">
      <c r="A883" s="44">
        <v>44330.444388958334</v>
      </c>
      <c r="B883" s="45" t="s">
        <v>61</v>
      </c>
      <c r="C883" s="45">
        <v>32</v>
      </c>
      <c r="D883" s="45">
        <f>VLOOKUP(Добавить1[[#This Row],[Товар]],$G$1:$H$14,2,0)*Добавить1[[#This Row],[количество_единиц_товара]]</f>
        <v>111040</v>
      </c>
      <c r="E883" s="45" t="s">
        <v>81</v>
      </c>
      <c r="F883" s="45" t="s">
        <v>96</v>
      </c>
    </row>
    <row r="884" spans="1:6" x14ac:dyDescent="0.3">
      <c r="A884" s="44">
        <v>44347.159998587966</v>
      </c>
      <c r="B884" s="45" t="s">
        <v>58</v>
      </c>
      <c r="C884" s="45">
        <v>30</v>
      </c>
      <c r="D884" s="45">
        <f>VLOOKUP(Добавить1[[#This Row],[Товар]],$G$1:$H$14,2,0)*Добавить1[[#This Row],[количество_единиц_товара]]</f>
        <v>133650</v>
      </c>
      <c r="E884" s="45" t="s">
        <v>80</v>
      </c>
      <c r="F884" s="45" t="s">
        <v>96</v>
      </c>
    </row>
    <row r="885" spans="1:6" x14ac:dyDescent="0.3">
      <c r="A885" s="44">
        <v>44354.996936469906</v>
      </c>
      <c r="B885" s="45" t="s">
        <v>52</v>
      </c>
      <c r="C885" s="45">
        <v>40</v>
      </c>
      <c r="D885" s="45">
        <f>VLOOKUP(Добавить1[[#This Row],[Товар]],$G$1:$H$14,2,0)*Добавить1[[#This Row],[количество_единиц_товара]]</f>
        <v>27200</v>
      </c>
      <c r="E885" s="45" t="s">
        <v>81</v>
      </c>
      <c r="F885" s="45" t="s">
        <v>96</v>
      </c>
    </row>
    <row r="886" spans="1:6" x14ac:dyDescent="0.3">
      <c r="A886" s="44">
        <v>44360.773911620374</v>
      </c>
      <c r="B886" s="45" t="s">
        <v>60</v>
      </c>
      <c r="C886" s="45">
        <v>21</v>
      </c>
      <c r="D886" s="45">
        <f>VLOOKUP(Добавить1[[#This Row],[Товар]],$G$1:$H$14,2,0)*Добавить1[[#This Row],[количество_единиц_товара]]</f>
        <v>121569</v>
      </c>
      <c r="E886" s="45" t="s">
        <v>80</v>
      </c>
      <c r="F886" s="45" t="s">
        <v>96</v>
      </c>
    </row>
    <row r="887" spans="1:6" x14ac:dyDescent="0.3">
      <c r="A887" s="44">
        <v>44363.436039594904</v>
      </c>
      <c r="B887" s="45" t="s">
        <v>59</v>
      </c>
      <c r="C887" s="45">
        <v>28</v>
      </c>
      <c r="D887" s="45">
        <f>VLOOKUP(Добавить1[[#This Row],[Товар]],$G$1:$H$14,2,0)*Добавить1[[#This Row],[количество_единиц_товара]]</f>
        <v>56000</v>
      </c>
      <c r="E887" s="45" t="s">
        <v>79</v>
      </c>
      <c r="F887" s="45" t="s">
        <v>96</v>
      </c>
    </row>
    <row r="888" spans="1:6" x14ac:dyDescent="0.3">
      <c r="A888" s="44">
        <v>44372.053339675927</v>
      </c>
      <c r="B888" s="45" t="s">
        <v>61</v>
      </c>
      <c r="C888" s="45">
        <v>35</v>
      </c>
      <c r="D888" s="45">
        <f>VLOOKUP(Добавить1[[#This Row],[Товар]],$G$1:$H$14,2,0)*Добавить1[[#This Row],[количество_единиц_товара]]</f>
        <v>121450</v>
      </c>
      <c r="E888" s="45" t="s">
        <v>79</v>
      </c>
      <c r="F888" s="45" t="s">
        <v>96</v>
      </c>
    </row>
    <row r="889" spans="1:6" x14ac:dyDescent="0.3">
      <c r="A889" s="44">
        <v>44373.710871863426</v>
      </c>
      <c r="B889" s="45" t="s">
        <v>52</v>
      </c>
      <c r="C889" s="45">
        <v>15</v>
      </c>
      <c r="D889" s="45">
        <f>VLOOKUP(Добавить1[[#This Row],[Товар]],$G$1:$H$14,2,0)*Добавить1[[#This Row],[количество_единиц_товара]]</f>
        <v>10200</v>
      </c>
      <c r="E889" s="45" t="s">
        <v>79</v>
      </c>
      <c r="F889" s="45" t="s">
        <v>96</v>
      </c>
    </row>
    <row r="890" spans="1:6" x14ac:dyDescent="0.3">
      <c r="A890" s="44">
        <v>44378.20328494213</v>
      </c>
      <c r="B890" s="45" t="s">
        <v>60</v>
      </c>
      <c r="C890" s="45">
        <v>16</v>
      </c>
      <c r="D890" s="45">
        <f>VLOOKUP(Добавить1[[#This Row],[Товар]],$G$1:$H$14,2,0)*Добавить1[[#This Row],[количество_единиц_товара]]</f>
        <v>92624</v>
      </c>
      <c r="E890" s="45" t="s">
        <v>79</v>
      </c>
      <c r="F890" s="45" t="s">
        <v>96</v>
      </c>
    </row>
    <row r="891" spans="1:6" x14ac:dyDescent="0.3">
      <c r="A891" s="44">
        <v>44387.591846608797</v>
      </c>
      <c r="B891" s="45" t="s">
        <v>60</v>
      </c>
      <c r="C891" s="45">
        <v>34</v>
      </c>
      <c r="D891" s="45">
        <f>VLOOKUP(Добавить1[[#This Row],[Товар]],$G$1:$H$14,2,0)*Добавить1[[#This Row],[количество_единиц_товара]]</f>
        <v>196826</v>
      </c>
      <c r="E891" s="45" t="s">
        <v>79</v>
      </c>
      <c r="F891" s="45" t="s">
        <v>96</v>
      </c>
    </row>
    <row r="892" spans="1:6" x14ac:dyDescent="0.3">
      <c r="A892" s="44">
        <v>44391.01964056713</v>
      </c>
      <c r="B892" s="45" t="s">
        <v>52</v>
      </c>
      <c r="C892" s="45">
        <v>21</v>
      </c>
      <c r="D892" s="45">
        <f>VLOOKUP(Добавить1[[#This Row],[Товар]],$G$1:$H$14,2,0)*Добавить1[[#This Row],[количество_единиц_товара]]</f>
        <v>14280</v>
      </c>
      <c r="E892" s="45" t="s">
        <v>81</v>
      </c>
      <c r="F892" s="45" t="s">
        <v>96</v>
      </c>
    </row>
    <row r="893" spans="1:6" x14ac:dyDescent="0.3">
      <c r="A893" s="44">
        <v>44426.349735925927</v>
      </c>
      <c r="B893" s="45" t="s">
        <v>49</v>
      </c>
      <c r="C893" s="45">
        <v>21</v>
      </c>
      <c r="D893" s="45">
        <f>VLOOKUP(Добавить1[[#This Row],[Товар]],$G$1:$H$14,2,0)*Добавить1[[#This Row],[количество_единиц_товара]]</f>
        <v>65100</v>
      </c>
      <c r="E893" s="45" t="s">
        <v>80</v>
      </c>
      <c r="F893" s="45" t="s">
        <v>96</v>
      </c>
    </row>
    <row r="894" spans="1:6" x14ac:dyDescent="0.3">
      <c r="A894" s="44">
        <v>44429.252215671295</v>
      </c>
      <c r="B894" s="45" t="s">
        <v>55</v>
      </c>
      <c r="C894" s="45">
        <v>38</v>
      </c>
      <c r="D894" s="45">
        <f>VLOOKUP(Добавить1[[#This Row],[Товар]],$G$1:$H$14,2,0)*Добавить1[[#This Row],[количество_единиц_товара]]</f>
        <v>171000</v>
      </c>
      <c r="E894" s="45" t="s">
        <v>79</v>
      </c>
      <c r="F894" s="45" t="s">
        <v>96</v>
      </c>
    </row>
    <row r="895" spans="1:6" x14ac:dyDescent="0.3">
      <c r="A895" s="44">
        <v>44443.450088611113</v>
      </c>
      <c r="B895" s="45" t="s">
        <v>55</v>
      </c>
      <c r="C895" s="45">
        <v>18</v>
      </c>
      <c r="D895" s="45">
        <f>VLOOKUP(Добавить1[[#This Row],[Товар]],$G$1:$H$14,2,0)*Добавить1[[#This Row],[количество_единиц_товара]]</f>
        <v>81000</v>
      </c>
      <c r="E895" s="45" t="s">
        <v>81</v>
      </c>
      <c r="F895" s="45" t="s">
        <v>96</v>
      </c>
    </row>
    <row r="896" spans="1:6" x14ac:dyDescent="0.3">
      <c r="A896" s="44">
        <v>44452.63678458333</v>
      </c>
      <c r="B896" s="45" t="s">
        <v>56</v>
      </c>
      <c r="C896" s="45">
        <v>24</v>
      </c>
      <c r="D896" s="45">
        <f>VLOOKUP(Добавить1[[#This Row],[Товар]],$G$1:$H$14,2,0)*Добавить1[[#This Row],[количество_единиц_товара]]</f>
        <v>38400</v>
      </c>
      <c r="E896" s="45" t="s">
        <v>80</v>
      </c>
      <c r="F896" s="45" t="s">
        <v>96</v>
      </c>
    </row>
    <row r="897" spans="1:6" x14ac:dyDescent="0.3">
      <c r="A897" s="44">
        <v>44460.272463240741</v>
      </c>
      <c r="B897" s="45" t="s">
        <v>50</v>
      </c>
      <c r="C897" s="45">
        <v>29</v>
      </c>
      <c r="D897" s="45">
        <f>VLOOKUP(Добавить1[[#This Row],[Товар]],$G$1:$H$14,2,0)*Добавить1[[#This Row],[количество_единиц_товара]]</f>
        <v>63800</v>
      </c>
      <c r="E897" s="45" t="s">
        <v>79</v>
      </c>
      <c r="F897" s="45" t="s">
        <v>96</v>
      </c>
    </row>
    <row r="898" spans="1:6" x14ac:dyDescent="0.3">
      <c r="A898" s="44">
        <v>44462.423882731484</v>
      </c>
      <c r="B898" s="45" t="s">
        <v>56</v>
      </c>
      <c r="C898" s="45">
        <v>36</v>
      </c>
      <c r="D898" s="45">
        <f>VLOOKUP(Добавить1[[#This Row],[Товар]],$G$1:$H$14,2,0)*Добавить1[[#This Row],[количество_единиц_товара]]</f>
        <v>57600</v>
      </c>
      <c r="E898" s="45" t="s">
        <v>81</v>
      </c>
      <c r="F898" s="45" t="s">
        <v>96</v>
      </c>
    </row>
    <row r="899" spans="1:6" x14ac:dyDescent="0.3">
      <c r="A899" s="44">
        <v>44465.913613750003</v>
      </c>
      <c r="B899" s="45" t="s">
        <v>52</v>
      </c>
      <c r="C899" s="45">
        <v>15</v>
      </c>
      <c r="D899" s="45">
        <f>VLOOKUP(Добавить1[[#This Row],[Товар]],$G$1:$H$14,2,0)*Добавить1[[#This Row],[количество_единиц_товара]]</f>
        <v>10200</v>
      </c>
      <c r="E899" s="45" t="s">
        <v>80</v>
      </c>
      <c r="F899" s="45" t="s">
        <v>96</v>
      </c>
    </row>
    <row r="900" spans="1:6" x14ac:dyDescent="0.3">
      <c r="A900" s="44">
        <v>44469.988423437499</v>
      </c>
      <c r="B900" s="45" t="s">
        <v>51</v>
      </c>
      <c r="C900" s="45">
        <v>22</v>
      </c>
      <c r="D900" s="45">
        <f>VLOOKUP(Добавить1[[#This Row],[Товар]],$G$1:$H$14,2,0)*Добавить1[[#This Row],[количество_единиц_товара]]</f>
        <v>56320</v>
      </c>
      <c r="E900" s="45" t="s">
        <v>79</v>
      </c>
      <c r="F900" s="45" t="s">
        <v>96</v>
      </c>
    </row>
  </sheetData>
  <pageMargins left="0.7" right="0.7" top="0.75" bottom="0.75" header="0.3" footer="0.3"/>
  <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AAF5-579A-43D5-B7B8-67CA93844E74}">
  <dimension ref="A1:F900"/>
  <sheetViews>
    <sheetView zoomScale="101" workbookViewId="0">
      <selection activeCell="H899" sqref="H899"/>
    </sheetView>
  </sheetViews>
  <sheetFormatPr defaultRowHeight="14.4" x14ac:dyDescent="0.3"/>
  <cols>
    <col min="1" max="1" width="16.44140625" bestFit="1" customWidth="1"/>
    <col min="2" max="2" width="25.77734375" bestFit="1" customWidth="1"/>
    <col min="3" max="3" width="28.21875" bestFit="1" customWidth="1"/>
    <col min="4" max="4" width="12.33203125" bestFit="1" customWidth="1"/>
    <col min="5" max="5" width="18" bestFit="1" customWidth="1"/>
    <col min="6" max="6" width="15" bestFit="1" customWidth="1"/>
  </cols>
  <sheetData>
    <row r="1" spans="1:6" x14ac:dyDescent="0.3">
      <c r="A1" s="14" t="s">
        <v>62</v>
      </c>
      <c r="B1" s="14" t="s">
        <v>47</v>
      </c>
      <c r="C1" s="14" t="s">
        <v>98</v>
      </c>
      <c r="D1" s="48" t="s">
        <v>64</v>
      </c>
      <c r="E1" s="14" t="s">
        <v>65</v>
      </c>
      <c r="F1" s="14" t="s">
        <v>92</v>
      </c>
    </row>
    <row r="2" spans="1:6" x14ac:dyDescent="0.3">
      <c r="A2" s="40">
        <v>42382.219606481478</v>
      </c>
      <c r="B2" s="14" t="s">
        <v>52</v>
      </c>
      <c r="C2" s="14">
        <v>13</v>
      </c>
      <c r="D2" s="47">
        <f>VLOOKUP(Добавить18[[#This Row],[Товар]],Итоговая!$G$1:$H$14,2,0)*Добавить18[[#This Row],[количество_единиц_товара]]</f>
        <v>8840</v>
      </c>
      <c r="E2" s="14" t="s">
        <v>66</v>
      </c>
      <c r="F2" s="14" t="s">
        <v>93</v>
      </c>
    </row>
    <row r="3" spans="1:6" x14ac:dyDescent="0.3">
      <c r="A3" s="40">
        <v>42392.014138495368</v>
      </c>
      <c r="B3" s="14" t="s">
        <v>58</v>
      </c>
      <c r="C3" s="14">
        <v>14</v>
      </c>
      <c r="D3" s="47">
        <f>VLOOKUP(Добавить18[[#This Row],[Товар]],Итоговая!$G$1:$H$14,2,0)*Добавить18[[#This Row],[количество_единиц_товара]]</f>
        <v>62370</v>
      </c>
      <c r="E3" s="14" t="s">
        <v>67</v>
      </c>
      <c r="F3" s="14" t="s">
        <v>93</v>
      </c>
    </row>
    <row r="4" spans="1:6" x14ac:dyDescent="0.3">
      <c r="A4" s="40">
        <v>42394.635415914352</v>
      </c>
      <c r="B4" s="14" t="s">
        <v>51</v>
      </c>
      <c r="C4" s="14">
        <v>38</v>
      </c>
      <c r="D4" s="47">
        <f>VLOOKUP(Добавить18[[#This Row],[Товар]],Итоговая!$G$1:$H$14,2,0)*Добавить18[[#This Row],[количество_единиц_товара]]</f>
        <v>97280</v>
      </c>
      <c r="E4" s="14" t="s">
        <v>66</v>
      </c>
      <c r="F4" s="14" t="s">
        <v>93</v>
      </c>
    </row>
    <row r="5" spans="1:6" x14ac:dyDescent="0.3">
      <c r="A5" s="40">
        <v>42396.052608437501</v>
      </c>
      <c r="B5" s="14" t="s">
        <v>58</v>
      </c>
      <c r="C5" s="14">
        <v>35</v>
      </c>
      <c r="D5" s="47">
        <f>VLOOKUP(Добавить18[[#This Row],[Товар]],Итоговая!$G$1:$H$14,2,0)*Добавить18[[#This Row],[количество_единиц_товара]]</f>
        <v>155925</v>
      </c>
      <c r="E5" s="14" t="s">
        <v>66</v>
      </c>
      <c r="F5" s="14" t="s">
        <v>93</v>
      </c>
    </row>
    <row r="6" spans="1:6" x14ac:dyDescent="0.3">
      <c r="A6" s="40">
        <v>42403.713688298609</v>
      </c>
      <c r="B6" s="14" t="s">
        <v>53</v>
      </c>
      <c r="C6" s="14">
        <v>29</v>
      </c>
      <c r="D6" s="47">
        <f>VLOOKUP(Добавить18[[#This Row],[Товар]],Итоговая!$G$1:$H$14,2,0)*Добавить18[[#This Row],[количество_единиц_товара]]</f>
        <v>51852</v>
      </c>
      <c r="E6" s="14" t="s">
        <v>68</v>
      </c>
      <c r="F6" s="14" t="s">
        <v>93</v>
      </c>
    </row>
    <row r="7" spans="1:6" x14ac:dyDescent="0.3">
      <c r="A7" s="40">
        <v>42407.947559525463</v>
      </c>
      <c r="B7" s="14" t="s">
        <v>51</v>
      </c>
      <c r="C7" s="14">
        <v>26</v>
      </c>
      <c r="D7" s="47">
        <f>VLOOKUP(Добавить18[[#This Row],[Товар]],Итоговая!$G$1:$H$14,2,0)*Добавить18[[#This Row],[количество_единиц_товара]]</f>
        <v>66560</v>
      </c>
      <c r="E7" s="14" t="s">
        <v>68</v>
      </c>
      <c r="F7" s="14" t="s">
        <v>93</v>
      </c>
    </row>
    <row r="8" spans="1:6" x14ac:dyDescent="0.3">
      <c r="A8" s="40">
        <v>42422.929697361113</v>
      </c>
      <c r="B8" s="14" t="s">
        <v>52</v>
      </c>
      <c r="C8" s="14">
        <v>23</v>
      </c>
      <c r="D8" s="47">
        <f>VLOOKUP(Добавить18[[#This Row],[Товар]],Итоговая!$G$1:$H$14,2,0)*Добавить18[[#This Row],[количество_единиц_товара]]</f>
        <v>15640</v>
      </c>
      <c r="E8" s="14" t="s">
        <v>68</v>
      </c>
      <c r="F8" s="14" t="s">
        <v>93</v>
      </c>
    </row>
    <row r="9" spans="1:6" x14ac:dyDescent="0.3">
      <c r="A9" s="40">
        <v>42430.915009930555</v>
      </c>
      <c r="B9" s="14" t="s">
        <v>56</v>
      </c>
      <c r="C9" s="14">
        <v>22</v>
      </c>
      <c r="D9" s="47">
        <f>VLOOKUP(Добавить18[[#This Row],[Товар]],Итоговая!$G$1:$H$14,2,0)*Добавить18[[#This Row],[количество_единиц_товара]]</f>
        <v>35200</v>
      </c>
      <c r="E9" s="14" t="s">
        <v>68</v>
      </c>
      <c r="F9" s="14" t="s">
        <v>93</v>
      </c>
    </row>
    <row r="10" spans="1:6" x14ac:dyDescent="0.3">
      <c r="A10" s="40">
        <v>42439.666330925924</v>
      </c>
      <c r="B10" s="14" t="s">
        <v>49</v>
      </c>
      <c r="C10" s="14">
        <v>29</v>
      </c>
      <c r="D10" s="47">
        <f>VLOOKUP(Добавить18[[#This Row],[Товар]],Итоговая!$G$1:$H$14,2,0)*Добавить18[[#This Row],[количество_единиц_товара]]</f>
        <v>89900</v>
      </c>
      <c r="E10" s="14" t="s">
        <v>68</v>
      </c>
      <c r="F10" s="14" t="s">
        <v>93</v>
      </c>
    </row>
    <row r="11" spans="1:6" x14ac:dyDescent="0.3">
      <c r="A11" s="40">
        <v>42467.98577175926</v>
      </c>
      <c r="B11" s="14" t="s">
        <v>56</v>
      </c>
      <c r="C11" s="14">
        <v>10</v>
      </c>
      <c r="D11" s="47">
        <f>VLOOKUP(Добавить18[[#This Row],[Товар]],Итоговая!$G$1:$H$14,2,0)*Добавить18[[#This Row],[количество_единиц_товара]]</f>
        <v>16000</v>
      </c>
      <c r="E11" s="14" t="s">
        <v>68</v>
      </c>
      <c r="F11" s="14" t="s">
        <v>93</v>
      </c>
    </row>
    <row r="12" spans="1:6" x14ac:dyDescent="0.3">
      <c r="A12" s="40">
        <v>42475.270452326389</v>
      </c>
      <c r="B12" s="14" t="s">
        <v>52</v>
      </c>
      <c r="C12" s="14">
        <v>39</v>
      </c>
      <c r="D12" s="47">
        <f>VLOOKUP(Добавить18[[#This Row],[Товар]],Итоговая!$G$1:$H$14,2,0)*Добавить18[[#This Row],[количество_единиц_товара]]</f>
        <v>26520</v>
      </c>
      <c r="E12" s="14" t="s">
        <v>68</v>
      </c>
      <c r="F12" s="14" t="s">
        <v>93</v>
      </c>
    </row>
    <row r="13" spans="1:6" x14ac:dyDescent="0.3">
      <c r="A13" s="40">
        <v>42479.659632986113</v>
      </c>
      <c r="B13" s="14" t="s">
        <v>52</v>
      </c>
      <c r="C13" s="14">
        <v>22</v>
      </c>
      <c r="D13" s="47">
        <f>VLOOKUP(Добавить18[[#This Row],[Товар]],Итоговая!$G$1:$H$14,2,0)*Добавить18[[#This Row],[количество_единиц_товара]]</f>
        <v>14960</v>
      </c>
      <c r="E13" s="14" t="s">
        <v>68</v>
      </c>
      <c r="F13" s="14" t="s">
        <v>93</v>
      </c>
    </row>
    <row r="14" spans="1:6" x14ac:dyDescent="0.3">
      <c r="A14" s="40">
        <v>42480.697064537038</v>
      </c>
      <c r="B14" s="14" t="s">
        <v>59</v>
      </c>
      <c r="C14" s="14">
        <v>14</v>
      </c>
      <c r="D14" s="47">
        <f>VLOOKUP(Добавить18[[#This Row],[Товар]],Итоговая!$G$1:$H$14,2,0)*Добавить18[[#This Row],[количество_единиц_товара]]</f>
        <v>28000</v>
      </c>
      <c r="E14" s="14" t="s">
        <v>66</v>
      </c>
      <c r="F14" s="14" t="s">
        <v>93</v>
      </c>
    </row>
    <row r="15" spans="1:6" x14ac:dyDescent="0.3">
      <c r="A15" s="40">
        <v>42483.325269525463</v>
      </c>
      <c r="B15" s="14" t="s">
        <v>54</v>
      </c>
      <c r="C15" s="14">
        <v>28</v>
      </c>
      <c r="D15" s="47">
        <f>VLOOKUP(Добавить18[[#This Row],[Товар]],Итоговая!$G$1:$H$14,2,0)*Добавить18[[#This Row],[количество_единиц_товара]]</f>
        <v>68600</v>
      </c>
      <c r="E15" s="14" t="s">
        <v>67</v>
      </c>
      <c r="F15" s="14" t="s">
        <v>93</v>
      </c>
    </row>
    <row r="16" spans="1:6" x14ac:dyDescent="0.3">
      <c r="A16" s="40">
        <v>42495.657398240743</v>
      </c>
      <c r="B16" s="14" t="s">
        <v>49</v>
      </c>
      <c r="C16" s="14">
        <v>22</v>
      </c>
      <c r="D16" s="47">
        <f>VLOOKUP(Добавить18[[#This Row],[Товар]],Итоговая!$G$1:$H$14,2,0)*Добавить18[[#This Row],[количество_единиц_товара]]</f>
        <v>68200</v>
      </c>
      <c r="E16" s="14" t="s">
        <v>66</v>
      </c>
      <c r="F16" s="14" t="s">
        <v>93</v>
      </c>
    </row>
    <row r="17" spans="1:6" x14ac:dyDescent="0.3">
      <c r="A17" s="40">
        <v>42513.53932895833</v>
      </c>
      <c r="B17" s="14" t="s">
        <v>50</v>
      </c>
      <c r="C17" s="14">
        <v>22</v>
      </c>
      <c r="D17" s="47">
        <f>VLOOKUP(Добавить18[[#This Row],[Товар]],Итоговая!$G$1:$H$14,2,0)*Добавить18[[#This Row],[количество_единиц_товара]]</f>
        <v>48400</v>
      </c>
      <c r="E17" s="14" t="s">
        <v>66</v>
      </c>
      <c r="F17" s="14" t="s">
        <v>93</v>
      </c>
    </row>
    <row r="18" spans="1:6" x14ac:dyDescent="0.3">
      <c r="A18" s="40">
        <v>42524.252401655096</v>
      </c>
      <c r="B18" s="14" t="s">
        <v>49</v>
      </c>
      <c r="C18" s="14">
        <v>39</v>
      </c>
      <c r="D18" s="47">
        <f>VLOOKUP(Добавить18[[#This Row],[Товар]],Итоговая!$G$1:$H$14,2,0)*Добавить18[[#This Row],[количество_единиц_товара]]</f>
        <v>120900</v>
      </c>
      <c r="E18" s="14" t="s">
        <v>67</v>
      </c>
      <c r="F18" s="14" t="s">
        <v>93</v>
      </c>
    </row>
    <row r="19" spans="1:6" x14ac:dyDescent="0.3">
      <c r="A19" s="40">
        <v>42532.015400081022</v>
      </c>
      <c r="B19" s="14" t="s">
        <v>61</v>
      </c>
      <c r="C19" s="14">
        <v>12</v>
      </c>
      <c r="D19" s="47">
        <f>VLOOKUP(Добавить18[[#This Row],[Товар]],Итоговая!$G$1:$H$14,2,0)*Добавить18[[#This Row],[количество_единиц_товара]]</f>
        <v>41640</v>
      </c>
      <c r="E19" s="14" t="s">
        <v>66</v>
      </c>
      <c r="F19" s="14" t="s">
        <v>93</v>
      </c>
    </row>
    <row r="20" spans="1:6" x14ac:dyDescent="0.3">
      <c r="A20" s="40">
        <v>42536.243877986111</v>
      </c>
      <c r="B20" s="14" t="s">
        <v>51</v>
      </c>
      <c r="C20" s="14">
        <v>16</v>
      </c>
      <c r="D20" s="47">
        <f>VLOOKUP(Добавить18[[#This Row],[Товар]],Итоговая!$G$1:$H$14,2,0)*Добавить18[[#This Row],[количество_единиц_товара]]</f>
        <v>40960</v>
      </c>
      <c r="E20" s="14" t="s">
        <v>66</v>
      </c>
      <c r="F20" s="14" t="s">
        <v>93</v>
      </c>
    </row>
    <row r="21" spans="1:6" x14ac:dyDescent="0.3">
      <c r="A21" s="40">
        <v>42540.788159548611</v>
      </c>
      <c r="B21" s="14" t="s">
        <v>58</v>
      </c>
      <c r="C21" s="14">
        <v>37</v>
      </c>
      <c r="D21" s="47">
        <f>VLOOKUP(Добавить18[[#This Row],[Товар]],Итоговая!$G$1:$H$14,2,0)*Добавить18[[#This Row],[количество_единиц_товара]]</f>
        <v>164835</v>
      </c>
      <c r="E21" s="14" t="s">
        <v>67</v>
      </c>
      <c r="F21" s="14" t="s">
        <v>93</v>
      </c>
    </row>
    <row r="22" spans="1:6" x14ac:dyDescent="0.3">
      <c r="A22" s="40">
        <v>42551.354121273151</v>
      </c>
      <c r="B22" s="14" t="s">
        <v>54</v>
      </c>
      <c r="C22" s="14">
        <v>27</v>
      </c>
      <c r="D22" s="47">
        <f>VLOOKUP(Добавить18[[#This Row],[Товар]],Итоговая!$G$1:$H$14,2,0)*Добавить18[[#This Row],[количество_единиц_товара]]</f>
        <v>66150</v>
      </c>
      <c r="E22" s="14" t="s">
        <v>66</v>
      </c>
      <c r="F22" s="14" t="s">
        <v>93</v>
      </c>
    </row>
    <row r="23" spans="1:6" x14ac:dyDescent="0.3">
      <c r="A23" s="40">
        <v>42558.120028425925</v>
      </c>
      <c r="B23" s="14" t="s">
        <v>60</v>
      </c>
      <c r="C23" s="14">
        <v>36</v>
      </c>
      <c r="D23" s="47">
        <f>VLOOKUP(Добавить18[[#This Row],[Товар]],Итоговая!$G$1:$H$14,2,0)*Добавить18[[#This Row],[количество_единиц_товара]]</f>
        <v>208404</v>
      </c>
      <c r="E23" s="14" t="s">
        <v>66</v>
      </c>
      <c r="F23" s="14" t="s">
        <v>93</v>
      </c>
    </row>
    <row r="24" spans="1:6" x14ac:dyDescent="0.3">
      <c r="A24" s="40">
        <v>42558.869814652775</v>
      </c>
      <c r="B24" s="14" t="s">
        <v>54</v>
      </c>
      <c r="C24" s="14">
        <v>37</v>
      </c>
      <c r="D24" s="47">
        <f>VLOOKUP(Добавить18[[#This Row],[Товар]],Итоговая!$G$1:$H$14,2,0)*Добавить18[[#This Row],[количество_единиц_товара]]</f>
        <v>90650</v>
      </c>
      <c r="E24" s="14" t="s">
        <v>67</v>
      </c>
      <c r="F24" s="14" t="s">
        <v>93</v>
      </c>
    </row>
    <row r="25" spans="1:6" x14ac:dyDescent="0.3">
      <c r="A25" s="40">
        <v>42567.748601724539</v>
      </c>
      <c r="B25" s="14" t="s">
        <v>60</v>
      </c>
      <c r="C25" s="14">
        <v>17</v>
      </c>
      <c r="D25" s="47">
        <f>VLOOKUP(Добавить18[[#This Row],[Товар]],Итоговая!$G$1:$H$14,2,0)*Добавить18[[#This Row],[количество_единиц_товара]]</f>
        <v>98413</v>
      </c>
      <c r="E25" s="14" t="s">
        <v>66</v>
      </c>
      <c r="F25" s="14" t="s">
        <v>93</v>
      </c>
    </row>
    <row r="26" spans="1:6" x14ac:dyDescent="0.3">
      <c r="A26" s="40">
        <v>42582.421839918985</v>
      </c>
      <c r="B26" s="14" t="s">
        <v>59</v>
      </c>
      <c r="C26" s="14">
        <v>39</v>
      </c>
      <c r="D26" s="47">
        <f>VLOOKUP(Добавить18[[#This Row],[Товар]],Итоговая!$G$1:$H$14,2,0)*Добавить18[[#This Row],[количество_единиц_товара]]</f>
        <v>78000</v>
      </c>
      <c r="E26" s="14" t="s">
        <v>66</v>
      </c>
      <c r="F26" s="14" t="s">
        <v>93</v>
      </c>
    </row>
    <row r="27" spans="1:6" x14ac:dyDescent="0.3">
      <c r="A27" s="40">
        <v>42593.594756979168</v>
      </c>
      <c r="B27" s="14" t="s">
        <v>52</v>
      </c>
      <c r="C27" s="14">
        <v>39</v>
      </c>
      <c r="D27" s="47">
        <f>VLOOKUP(Добавить18[[#This Row],[Товар]],Итоговая!$G$1:$H$14,2,0)*Добавить18[[#This Row],[количество_единиц_товара]]</f>
        <v>26520</v>
      </c>
      <c r="E27" s="14" t="s">
        <v>67</v>
      </c>
      <c r="F27" s="14" t="s">
        <v>93</v>
      </c>
    </row>
    <row r="28" spans="1:6" x14ac:dyDescent="0.3">
      <c r="A28" s="40">
        <v>42597.367198680557</v>
      </c>
      <c r="B28" s="14" t="s">
        <v>59</v>
      </c>
      <c r="C28" s="14">
        <v>35</v>
      </c>
      <c r="D28" s="47">
        <f>VLOOKUP(Добавить18[[#This Row],[Товар]],Итоговая!$G$1:$H$14,2,0)*Добавить18[[#This Row],[количество_единиц_товара]]</f>
        <v>70000</v>
      </c>
      <c r="E28" s="14" t="s">
        <v>66</v>
      </c>
      <c r="F28" s="14" t="s">
        <v>93</v>
      </c>
    </row>
    <row r="29" spans="1:6" x14ac:dyDescent="0.3">
      <c r="A29" s="40">
        <v>42603.495817210649</v>
      </c>
      <c r="B29" s="14" t="s">
        <v>51</v>
      </c>
      <c r="C29" s="14">
        <v>27</v>
      </c>
      <c r="D29" s="47">
        <f>VLOOKUP(Добавить18[[#This Row],[Товар]],Итоговая!$G$1:$H$14,2,0)*Добавить18[[#This Row],[количество_единиц_товара]]</f>
        <v>69120</v>
      </c>
      <c r="E29" s="14" t="s">
        <v>66</v>
      </c>
      <c r="F29" s="14" t="s">
        <v>93</v>
      </c>
    </row>
    <row r="30" spans="1:6" x14ac:dyDescent="0.3">
      <c r="A30" s="40">
        <v>42614.976731469906</v>
      </c>
      <c r="B30" s="14" t="s">
        <v>55</v>
      </c>
      <c r="C30" s="14">
        <v>36</v>
      </c>
      <c r="D30" s="47">
        <f>VLOOKUP(Добавить18[[#This Row],[Товар]],Итоговая!$G$1:$H$14,2,0)*Добавить18[[#This Row],[количество_единиц_товара]]</f>
        <v>162000</v>
      </c>
      <c r="E30" s="14" t="s">
        <v>67</v>
      </c>
      <c r="F30" s="14" t="s">
        <v>93</v>
      </c>
    </row>
    <row r="31" spans="1:6" x14ac:dyDescent="0.3">
      <c r="A31" s="40">
        <v>42625.594587569445</v>
      </c>
      <c r="B31" s="14" t="s">
        <v>57</v>
      </c>
      <c r="C31" s="14">
        <v>15</v>
      </c>
      <c r="D31" s="47">
        <f>VLOOKUP(Добавить18[[#This Row],[Товар]],Итоговая!$G$1:$H$14,2,0)*Добавить18[[#This Row],[количество_единиц_товара]]</f>
        <v>56940</v>
      </c>
      <c r="E31" s="14" t="s">
        <v>66</v>
      </c>
      <c r="F31" s="14" t="s">
        <v>93</v>
      </c>
    </row>
    <row r="32" spans="1:6" x14ac:dyDescent="0.3">
      <c r="A32" s="40">
        <v>42643.441102268516</v>
      </c>
      <c r="B32" s="14" t="s">
        <v>59</v>
      </c>
      <c r="C32" s="14">
        <v>35</v>
      </c>
      <c r="D32" s="47">
        <f>VLOOKUP(Добавить18[[#This Row],[Товар]],Итоговая!$G$1:$H$14,2,0)*Добавить18[[#This Row],[количество_единиц_товара]]</f>
        <v>70000</v>
      </c>
      <c r="E32" s="14" t="s">
        <v>66</v>
      </c>
      <c r="F32" s="14" t="s">
        <v>93</v>
      </c>
    </row>
    <row r="33" spans="1:6" x14ac:dyDescent="0.3">
      <c r="A33" s="40">
        <v>42647.717206354166</v>
      </c>
      <c r="B33" s="14" t="s">
        <v>54</v>
      </c>
      <c r="C33" s="14">
        <v>33</v>
      </c>
      <c r="D33" s="47">
        <f>VLOOKUP(Добавить18[[#This Row],[Товар]],Итоговая!$G$1:$H$14,2,0)*Добавить18[[#This Row],[количество_единиц_товара]]</f>
        <v>80850</v>
      </c>
      <c r="E33" s="14" t="s">
        <v>66</v>
      </c>
      <c r="F33" s="14" t="s">
        <v>93</v>
      </c>
    </row>
    <row r="34" spans="1:6" x14ac:dyDescent="0.3">
      <c r="A34" s="40">
        <v>42655.923075706021</v>
      </c>
      <c r="B34" s="14" t="s">
        <v>58</v>
      </c>
      <c r="C34" s="14">
        <v>18</v>
      </c>
      <c r="D34" s="47">
        <f>VLOOKUP(Добавить18[[#This Row],[Товар]],Итоговая!$G$1:$H$14,2,0)*Добавить18[[#This Row],[количество_единиц_товара]]</f>
        <v>80190</v>
      </c>
      <c r="E34" s="14" t="s">
        <v>66</v>
      </c>
      <c r="F34" s="14" t="s">
        <v>93</v>
      </c>
    </row>
    <row r="35" spans="1:6" x14ac:dyDescent="0.3">
      <c r="A35" s="40">
        <v>42657.196743078704</v>
      </c>
      <c r="B35" s="14" t="s">
        <v>59</v>
      </c>
      <c r="C35" s="14">
        <v>26</v>
      </c>
      <c r="D35" s="47">
        <f>VLOOKUP(Добавить18[[#This Row],[Товар]],Итоговая!$G$1:$H$14,2,0)*Добавить18[[#This Row],[количество_единиц_товара]]</f>
        <v>52000</v>
      </c>
      <c r="E35" s="14" t="s">
        <v>68</v>
      </c>
      <c r="F35" s="14" t="s">
        <v>93</v>
      </c>
    </row>
    <row r="36" spans="1:6" x14ac:dyDescent="0.3">
      <c r="A36" s="40">
        <v>42663.293189745367</v>
      </c>
      <c r="B36" s="14" t="s">
        <v>51</v>
      </c>
      <c r="C36" s="14">
        <v>40</v>
      </c>
      <c r="D36" s="47">
        <f>VLOOKUP(Добавить18[[#This Row],[Товар]],Итоговая!$G$1:$H$14,2,0)*Добавить18[[#This Row],[количество_единиц_товара]]</f>
        <v>102400</v>
      </c>
      <c r="E36" s="14" t="s">
        <v>68</v>
      </c>
      <c r="F36" s="14" t="s">
        <v>93</v>
      </c>
    </row>
    <row r="37" spans="1:6" x14ac:dyDescent="0.3">
      <c r="A37" s="40">
        <v>42671.163895254627</v>
      </c>
      <c r="B37" s="14" t="s">
        <v>58</v>
      </c>
      <c r="C37" s="14">
        <v>25</v>
      </c>
      <c r="D37" s="47">
        <f>VLOOKUP(Добавить18[[#This Row],[Товар]],Итоговая!$G$1:$H$14,2,0)*Добавить18[[#This Row],[количество_единиц_товара]]</f>
        <v>111375</v>
      </c>
      <c r="E37" s="14" t="s">
        <v>68</v>
      </c>
      <c r="F37" s="14" t="s">
        <v>93</v>
      </c>
    </row>
    <row r="38" spans="1:6" x14ac:dyDescent="0.3">
      <c r="A38" s="40">
        <v>42674.400286990742</v>
      </c>
      <c r="B38" s="14" t="s">
        <v>51</v>
      </c>
      <c r="C38" s="14">
        <v>16</v>
      </c>
      <c r="D38" s="47">
        <f>VLOOKUP(Добавить18[[#This Row],[Товар]],Итоговая!$G$1:$H$14,2,0)*Добавить18[[#This Row],[количество_единиц_товара]]</f>
        <v>40960</v>
      </c>
      <c r="E38" s="14" t="s">
        <v>66</v>
      </c>
      <c r="F38" s="14" t="s">
        <v>93</v>
      </c>
    </row>
    <row r="39" spans="1:6" x14ac:dyDescent="0.3">
      <c r="A39" s="40">
        <v>42687.754551030092</v>
      </c>
      <c r="B39" s="14" t="s">
        <v>55</v>
      </c>
      <c r="C39" s="14">
        <v>35</v>
      </c>
      <c r="D39" s="47">
        <f>VLOOKUP(Добавить18[[#This Row],[Товар]],Итоговая!$G$1:$H$14,2,0)*Добавить18[[#This Row],[количество_единиц_товара]]</f>
        <v>157500</v>
      </c>
      <c r="E39" s="14" t="s">
        <v>67</v>
      </c>
      <c r="F39" s="14" t="s">
        <v>93</v>
      </c>
    </row>
    <row r="40" spans="1:6" x14ac:dyDescent="0.3">
      <c r="A40" s="40">
        <v>42698.369565243054</v>
      </c>
      <c r="B40" s="14" t="s">
        <v>58</v>
      </c>
      <c r="C40" s="14">
        <v>39</v>
      </c>
      <c r="D40" s="47">
        <f>VLOOKUP(Добавить18[[#This Row],[Товар]],Итоговая!$G$1:$H$14,2,0)*Добавить18[[#This Row],[количество_единиц_товара]]</f>
        <v>173745</v>
      </c>
      <c r="E40" s="14" t="s">
        <v>66</v>
      </c>
      <c r="F40" s="14" t="s">
        <v>93</v>
      </c>
    </row>
    <row r="41" spans="1:6" x14ac:dyDescent="0.3">
      <c r="A41" s="40">
        <v>42722.51697827546</v>
      </c>
      <c r="B41" s="14" t="s">
        <v>52</v>
      </c>
      <c r="C41" s="14">
        <v>30</v>
      </c>
      <c r="D41" s="47">
        <f>VLOOKUP(Добавить18[[#This Row],[Товар]],Итоговая!$G$1:$H$14,2,0)*Добавить18[[#This Row],[количество_единиц_товара]]</f>
        <v>20400</v>
      </c>
      <c r="E41" s="14" t="s">
        <v>66</v>
      </c>
      <c r="F41" s="14" t="s">
        <v>93</v>
      </c>
    </row>
    <row r="42" spans="1:6" x14ac:dyDescent="0.3">
      <c r="A42" s="40">
        <v>42725.798662141206</v>
      </c>
      <c r="B42" s="14" t="s">
        <v>52</v>
      </c>
      <c r="C42" s="14">
        <v>30</v>
      </c>
      <c r="D42" s="47">
        <f>VLOOKUP(Добавить18[[#This Row],[Товар]],Итоговая!$G$1:$H$14,2,0)*Добавить18[[#This Row],[количество_единиц_товара]]</f>
        <v>20400</v>
      </c>
      <c r="E42" s="14" t="s">
        <v>67</v>
      </c>
      <c r="F42" s="14" t="s">
        <v>93</v>
      </c>
    </row>
    <row r="43" spans="1:6" x14ac:dyDescent="0.3">
      <c r="A43" s="40">
        <v>42740.126617847221</v>
      </c>
      <c r="B43" s="14" t="s">
        <v>59</v>
      </c>
      <c r="C43" s="14">
        <v>28</v>
      </c>
      <c r="D43" s="47">
        <f>VLOOKUP(Добавить18[[#This Row],[Товар]],Итоговая!$G$1:$H$14,2,0)*Добавить18[[#This Row],[количество_единиц_товара]]</f>
        <v>56000</v>
      </c>
      <c r="E43" s="14" t="s">
        <v>66</v>
      </c>
      <c r="F43" s="14" t="s">
        <v>93</v>
      </c>
    </row>
    <row r="44" spans="1:6" x14ac:dyDescent="0.3">
      <c r="A44" s="40">
        <v>42744.899128067133</v>
      </c>
      <c r="B44" s="14" t="s">
        <v>59</v>
      </c>
      <c r="C44" s="14">
        <v>35</v>
      </c>
      <c r="D44" s="47">
        <f>VLOOKUP(Добавить18[[#This Row],[Товар]],Итоговая!$G$1:$H$14,2,0)*Добавить18[[#This Row],[количество_единиц_товара]]</f>
        <v>70000</v>
      </c>
      <c r="E44" s="14" t="s">
        <v>66</v>
      </c>
      <c r="F44" s="14" t="s">
        <v>93</v>
      </c>
    </row>
    <row r="45" spans="1:6" x14ac:dyDescent="0.3">
      <c r="A45" s="40">
        <v>42748.407116145834</v>
      </c>
      <c r="B45" s="14" t="s">
        <v>50</v>
      </c>
      <c r="C45" s="14">
        <v>35</v>
      </c>
      <c r="D45" s="47">
        <f>VLOOKUP(Добавить18[[#This Row],[Товар]],Итоговая!$G$1:$H$14,2,0)*Добавить18[[#This Row],[количество_единиц_товара]]</f>
        <v>77000</v>
      </c>
      <c r="E45" s="14" t="s">
        <v>67</v>
      </c>
      <c r="F45" s="14" t="s">
        <v>93</v>
      </c>
    </row>
    <row r="46" spans="1:6" x14ac:dyDescent="0.3">
      <c r="A46" s="40">
        <v>42754.536133958332</v>
      </c>
      <c r="B46" s="14" t="s">
        <v>52</v>
      </c>
      <c r="C46" s="14">
        <v>27</v>
      </c>
      <c r="D46" s="47">
        <f>VLOOKUP(Добавить18[[#This Row],[Товар]],Итоговая!$G$1:$H$14,2,0)*Добавить18[[#This Row],[количество_единиц_товара]]</f>
        <v>18360</v>
      </c>
      <c r="E46" s="14" t="s">
        <v>66</v>
      </c>
      <c r="F46" s="14" t="s">
        <v>93</v>
      </c>
    </row>
    <row r="47" spans="1:6" x14ac:dyDescent="0.3">
      <c r="A47" s="40">
        <v>42779.707061620371</v>
      </c>
      <c r="B47" s="14" t="s">
        <v>51</v>
      </c>
      <c r="C47" s="14">
        <v>21</v>
      </c>
      <c r="D47" s="47">
        <f>VLOOKUP(Добавить18[[#This Row],[Товар]],Итоговая!$G$1:$H$14,2,0)*Добавить18[[#This Row],[количество_единиц_товара]]</f>
        <v>53760</v>
      </c>
      <c r="E47" s="14" t="s">
        <v>66</v>
      </c>
      <c r="F47" s="14" t="s">
        <v>93</v>
      </c>
    </row>
    <row r="48" spans="1:6" x14ac:dyDescent="0.3">
      <c r="A48" s="40">
        <v>42783.481084375002</v>
      </c>
      <c r="B48" s="14" t="s">
        <v>54</v>
      </c>
      <c r="C48" s="14">
        <v>30</v>
      </c>
      <c r="D48" s="47">
        <f>VLOOKUP(Добавить18[[#This Row],[Товар]],Итоговая!$G$1:$H$14,2,0)*Добавить18[[#This Row],[количество_единиц_товара]]</f>
        <v>73500</v>
      </c>
      <c r="E48" s="14" t="s">
        <v>66</v>
      </c>
      <c r="F48" s="14" t="s">
        <v>93</v>
      </c>
    </row>
    <row r="49" spans="1:6" x14ac:dyDescent="0.3">
      <c r="A49" s="40">
        <v>42785.60452645833</v>
      </c>
      <c r="B49" s="14" t="s">
        <v>58</v>
      </c>
      <c r="C49" s="14">
        <v>11</v>
      </c>
      <c r="D49" s="47">
        <f>VLOOKUP(Добавить18[[#This Row],[Товар]],Итоговая!$G$1:$H$14,2,0)*Добавить18[[#This Row],[количество_единиц_товара]]</f>
        <v>49005</v>
      </c>
      <c r="E49" s="14" t="s">
        <v>68</v>
      </c>
      <c r="F49" s="14" t="s">
        <v>93</v>
      </c>
    </row>
    <row r="50" spans="1:6" x14ac:dyDescent="0.3">
      <c r="A50" s="40">
        <v>42797.68630415509</v>
      </c>
      <c r="B50" s="14" t="s">
        <v>49</v>
      </c>
      <c r="C50" s="14">
        <v>11</v>
      </c>
      <c r="D50" s="47">
        <f>VLOOKUP(Добавить18[[#This Row],[Товар]],Итоговая!$G$1:$H$14,2,0)*Добавить18[[#This Row],[количество_единиц_товара]]</f>
        <v>34100</v>
      </c>
      <c r="E50" s="14" t="s">
        <v>68</v>
      </c>
      <c r="F50" s="14" t="s">
        <v>93</v>
      </c>
    </row>
    <row r="51" spans="1:6" x14ac:dyDescent="0.3">
      <c r="A51" s="40">
        <v>42815.676426342594</v>
      </c>
      <c r="B51" s="14" t="s">
        <v>58</v>
      </c>
      <c r="C51" s="14">
        <v>12</v>
      </c>
      <c r="D51" s="47">
        <f>VLOOKUP(Добавить18[[#This Row],[Товар]],Итоговая!$G$1:$H$14,2,0)*Добавить18[[#This Row],[количество_единиц_товара]]</f>
        <v>53460</v>
      </c>
      <c r="E51" s="14" t="s">
        <v>68</v>
      </c>
      <c r="F51" s="14" t="s">
        <v>93</v>
      </c>
    </row>
    <row r="52" spans="1:6" x14ac:dyDescent="0.3">
      <c r="A52" s="40">
        <v>42816.996650694447</v>
      </c>
      <c r="B52" s="14" t="s">
        <v>51</v>
      </c>
      <c r="C52" s="14">
        <v>15</v>
      </c>
      <c r="D52" s="47">
        <f>VLOOKUP(Добавить18[[#This Row],[Товар]],Итоговая!$G$1:$H$14,2,0)*Добавить18[[#This Row],[количество_единиц_товара]]</f>
        <v>38400</v>
      </c>
      <c r="E52" s="14" t="s">
        <v>66</v>
      </c>
      <c r="F52" s="14" t="s">
        <v>93</v>
      </c>
    </row>
    <row r="53" spans="1:6" x14ac:dyDescent="0.3">
      <c r="A53" s="40">
        <v>42817.948765682871</v>
      </c>
      <c r="B53" s="14" t="s">
        <v>49</v>
      </c>
      <c r="C53" s="14">
        <v>17</v>
      </c>
      <c r="D53" s="47">
        <f>VLOOKUP(Добавить18[[#This Row],[Товар]],Итоговая!$G$1:$H$14,2,0)*Добавить18[[#This Row],[количество_единиц_товара]]</f>
        <v>52700</v>
      </c>
      <c r="E53" s="14" t="s">
        <v>67</v>
      </c>
      <c r="F53" s="14" t="s">
        <v>93</v>
      </c>
    </row>
    <row r="54" spans="1:6" x14ac:dyDescent="0.3">
      <c r="A54" s="40">
        <v>42827.33654585648</v>
      </c>
      <c r="B54" s="14" t="s">
        <v>60</v>
      </c>
      <c r="C54" s="14">
        <v>23</v>
      </c>
      <c r="D54" s="47">
        <f>VLOOKUP(Добавить18[[#This Row],[Товар]],Итоговая!$G$1:$H$14,2,0)*Добавить18[[#This Row],[количество_единиц_товара]]</f>
        <v>133147</v>
      </c>
      <c r="E54" s="14" t="s">
        <v>67</v>
      </c>
      <c r="F54" s="14" t="s">
        <v>93</v>
      </c>
    </row>
    <row r="55" spans="1:6" x14ac:dyDescent="0.3">
      <c r="A55" s="40">
        <v>42830.805011469907</v>
      </c>
      <c r="B55" s="14" t="s">
        <v>55</v>
      </c>
      <c r="C55" s="14">
        <v>37</v>
      </c>
      <c r="D55" s="47">
        <f>VLOOKUP(Добавить18[[#This Row],[Товар]],Итоговая!$G$1:$H$14,2,0)*Добавить18[[#This Row],[количество_единиц_товара]]</f>
        <v>166500</v>
      </c>
      <c r="E55" s="14" t="s">
        <v>67</v>
      </c>
      <c r="F55" s="14" t="s">
        <v>93</v>
      </c>
    </row>
    <row r="56" spans="1:6" x14ac:dyDescent="0.3">
      <c r="A56" s="40">
        <v>42833.666900150463</v>
      </c>
      <c r="B56" s="14" t="s">
        <v>50</v>
      </c>
      <c r="C56" s="14">
        <v>33</v>
      </c>
      <c r="D56" s="47">
        <f>VLOOKUP(Добавить18[[#This Row],[Товар]],Итоговая!$G$1:$H$14,2,0)*Добавить18[[#This Row],[количество_единиц_товара]]</f>
        <v>72600</v>
      </c>
      <c r="E56" s="14" t="s">
        <v>67</v>
      </c>
      <c r="F56" s="14" t="s">
        <v>93</v>
      </c>
    </row>
    <row r="57" spans="1:6" x14ac:dyDescent="0.3">
      <c r="A57" s="40">
        <v>42838.313077928244</v>
      </c>
      <c r="B57" s="14" t="s">
        <v>49</v>
      </c>
      <c r="C57" s="14">
        <v>23</v>
      </c>
      <c r="D57" s="47">
        <f>VLOOKUP(Добавить18[[#This Row],[Товар]],Итоговая!$G$1:$H$14,2,0)*Добавить18[[#This Row],[количество_единиц_товара]]</f>
        <v>71300</v>
      </c>
      <c r="E57" s="14" t="s">
        <v>67</v>
      </c>
      <c r="F57" s="14" t="s">
        <v>93</v>
      </c>
    </row>
    <row r="58" spans="1:6" x14ac:dyDescent="0.3">
      <c r="A58" s="40">
        <v>42841.780431782405</v>
      </c>
      <c r="B58" s="14" t="s">
        <v>54</v>
      </c>
      <c r="C58" s="14">
        <v>23</v>
      </c>
      <c r="D58" s="47">
        <f>VLOOKUP(Добавить18[[#This Row],[Товар]],Итоговая!$G$1:$H$14,2,0)*Добавить18[[#This Row],[количество_единиц_товара]]</f>
        <v>56350</v>
      </c>
      <c r="E58" s="14" t="s">
        <v>67</v>
      </c>
      <c r="F58" s="14" t="s">
        <v>93</v>
      </c>
    </row>
    <row r="59" spans="1:6" x14ac:dyDescent="0.3">
      <c r="A59" s="40">
        <v>42845.749747743059</v>
      </c>
      <c r="B59" s="14" t="s">
        <v>51</v>
      </c>
      <c r="C59" s="14">
        <v>11</v>
      </c>
      <c r="D59" s="47">
        <f>VLOOKUP(Добавить18[[#This Row],[Товар]],Итоговая!$G$1:$H$14,2,0)*Добавить18[[#This Row],[количество_единиц_товара]]</f>
        <v>28160</v>
      </c>
      <c r="E59" s="14" t="s">
        <v>67</v>
      </c>
      <c r="F59" s="14" t="s">
        <v>93</v>
      </c>
    </row>
    <row r="60" spans="1:6" x14ac:dyDescent="0.3">
      <c r="A60" s="40">
        <v>42846.46802688657</v>
      </c>
      <c r="B60" s="14" t="s">
        <v>49</v>
      </c>
      <c r="C60" s="14">
        <v>11</v>
      </c>
      <c r="D60" s="47">
        <f>VLOOKUP(Добавить18[[#This Row],[Товар]],Итоговая!$G$1:$H$14,2,0)*Добавить18[[#This Row],[количество_единиц_товара]]</f>
        <v>34100</v>
      </c>
      <c r="E60" s="14" t="s">
        <v>67</v>
      </c>
      <c r="F60" s="14" t="s">
        <v>93</v>
      </c>
    </row>
    <row r="61" spans="1:6" x14ac:dyDescent="0.3">
      <c r="A61" s="40">
        <v>42865.513237476851</v>
      </c>
      <c r="B61" s="14" t="s">
        <v>59</v>
      </c>
      <c r="C61" s="14">
        <v>37</v>
      </c>
      <c r="D61" s="47">
        <f>VLOOKUP(Добавить18[[#This Row],[Товар]],Итоговая!$G$1:$H$14,2,0)*Добавить18[[#This Row],[количество_единиц_товара]]</f>
        <v>74000</v>
      </c>
      <c r="E61" s="14" t="s">
        <v>66</v>
      </c>
      <c r="F61" s="14" t="s">
        <v>93</v>
      </c>
    </row>
    <row r="62" spans="1:6" x14ac:dyDescent="0.3">
      <c r="A62" s="40">
        <v>42875.664145972223</v>
      </c>
      <c r="B62" s="14" t="s">
        <v>58</v>
      </c>
      <c r="C62" s="14">
        <v>22</v>
      </c>
      <c r="D62" s="47">
        <f>VLOOKUP(Добавить18[[#This Row],[Товар]],Итоговая!$G$1:$H$14,2,0)*Добавить18[[#This Row],[количество_единиц_товара]]</f>
        <v>98010</v>
      </c>
      <c r="E62" s="14" t="s">
        <v>66</v>
      </c>
      <c r="F62" s="14" t="s">
        <v>93</v>
      </c>
    </row>
    <row r="63" spans="1:6" x14ac:dyDescent="0.3">
      <c r="A63" s="40">
        <v>42879.178582650464</v>
      </c>
      <c r="B63" s="14" t="s">
        <v>58</v>
      </c>
      <c r="C63" s="14">
        <v>32</v>
      </c>
      <c r="D63" s="47">
        <f>VLOOKUP(Добавить18[[#This Row],[Товар]],Итоговая!$G$1:$H$14,2,0)*Добавить18[[#This Row],[количество_единиц_товара]]</f>
        <v>142560</v>
      </c>
      <c r="E63" s="14" t="s">
        <v>68</v>
      </c>
      <c r="F63" s="14" t="s">
        <v>93</v>
      </c>
    </row>
    <row r="64" spans="1:6" x14ac:dyDescent="0.3">
      <c r="A64" s="40">
        <v>42885.422611319445</v>
      </c>
      <c r="B64" s="14" t="s">
        <v>51</v>
      </c>
      <c r="C64" s="14">
        <v>39</v>
      </c>
      <c r="D64" s="47">
        <f>VLOOKUP(Добавить18[[#This Row],[Товар]],Итоговая!$G$1:$H$14,2,0)*Добавить18[[#This Row],[количество_единиц_товара]]</f>
        <v>99840</v>
      </c>
      <c r="E64" s="14" t="s">
        <v>68</v>
      </c>
      <c r="F64" s="14" t="s">
        <v>93</v>
      </c>
    </row>
    <row r="65" spans="1:6" x14ac:dyDescent="0.3">
      <c r="A65" s="40">
        <v>42892.097382789354</v>
      </c>
      <c r="B65" s="14" t="s">
        <v>54</v>
      </c>
      <c r="C65" s="14">
        <v>13</v>
      </c>
      <c r="D65" s="47">
        <f>VLOOKUP(Добавить18[[#This Row],[Товар]],Итоговая!$G$1:$H$14,2,0)*Добавить18[[#This Row],[количество_единиц_товара]]</f>
        <v>31850</v>
      </c>
      <c r="E65" s="14" t="s">
        <v>68</v>
      </c>
      <c r="F65" s="14" t="s">
        <v>93</v>
      </c>
    </row>
    <row r="66" spans="1:6" x14ac:dyDescent="0.3">
      <c r="A66" s="40">
        <v>42894.879523414354</v>
      </c>
      <c r="B66" s="14" t="s">
        <v>52</v>
      </c>
      <c r="C66" s="14">
        <v>21</v>
      </c>
      <c r="D66" s="47">
        <f>VLOOKUP(Добавить18[[#This Row],[Товар]],Итоговая!$G$1:$H$14,2,0)*Добавить18[[#This Row],[количество_единиц_товара]]</f>
        <v>14280</v>
      </c>
      <c r="E66" s="14" t="s">
        <v>68</v>
      </c>
      <c r="F66" s="14" t="s">
        <v>93</v>
      </c>
    </row>
    <row r="67" spans="1:6" x14ac:dyDescent="0.3">
      <c r="A67" s="40">
        <v>42899.296644699076</v>
      </c>
      <c r="B67" s="14" t="s">
        <v>49</v>
      </c>
      <c r="C67" s="14">
        <v>24</v>
      </c>
      <c r="D67" s="47">
        <f>VLOOKUP(Добавить18[[#This Row],[Товар]],Итоговая!$G$1:$H$14,2,0)*Добавить18[[#This Row],[количество_единиц_товара]]</f>
        <v>74400</v>
      </c>
      <c r="E67" s="14" t="s">
        <v>68</v>
      </c>
      <c r="F67" s="14" t="s">
        <v>93</v>
      </c>
    </row>
    <row r="68" spans="1:6" x14ac:dyDescent="0.3">
      <c r="A68" s="40">
        <v>42901.117697499998</v>
      </c>
      <c r="B68" s="14" t="s">
        <v>53</v>
      </c>
      <c r="C68" s="14">
        <v>13</v>
      </c>
      <c r="D68" s="47">
        <f>VLOOKUP(Добавить18[[#This Row],[Товар]],Итоговая!$G$1:$H$14,2,0)*Добавить18[[#This Row],[количество_единиц_товара]]</f>
        <v>23244</v>
      </c>
      <c r="E68" s="14" t="s">
        <v>66</v>
      </c>
      <c r="F68" s="14" t="s">
        <v>93</v>
      </c>
    </row>
    <row r="69" spans="1:6" x14ac:dyDescent="0.3">
      <c r="A69" s="40">
        <v>42906.769554293984</v>
      </c>
      <c r="B69" s="14" t="s">
        <v>55</v>
      </c>
      <c r="C69" s="14">
        <v>26</v>
      </c>
      <c r="D69" s="47">
        <f>VLOOKUP(Добавить18[[#This Row],[Товар]],Итоговая!$G$1:$H$14,2,0)*Добавить18[[#This Row],[количество_единиц_товара]]</f>
        <v>117000</v>
      </c>
      <c r="E69" s="14" t="s">
        <v>67</v>
      </c>
      <c r="F69" s="14" t="s">
        <v>93</v>
      </c>
    </row>
    <row r="70" spans="1:6" x14ac:dyDescent="0.3">
      <c r="A70" s="40">
        <v>42914.247908888887</v>
      </c>
      <c r="B70" s="14" t="s">
        <v>51</v>
      </c>
      <c r="C70" s="14">
        <v>20</v>
      </c>
      <c r="D70" s="47">
        <f>VLOOKUP(Добавить18[[#This Row],[Товар]],Итоговая!$G$1:$H$14,2,0)*Добавить18[[#This Row],[количество_единиц_товара]]</f>
        <v>51200</v>
      </c>
      <c r="E70" s="14" t="s">
        <v>67</v>
      </c>
      <c r="F70" s="14" t="s">
        <v>93</v>
      </c>
    </row>
    <row r="71" spans="1:6" x14ac:dyDescent="0.3">
      <c r="A71" s="40">
        <v>42946.928572141202</v>
      </c>
      <c r="B71" s="14" t="s">
        <v>59</v>
      </c>
      <c r="C71" s="14">
        <v>28</v>
      </c>
      <c r="D71" s="47">
        <f>VLOOKUP(Добавить18[[#This Row],[Товар]],Итоговая!$G$1:$H$14,2,0)*Добавить18[[#This Row],[количество_единиц_товара]]</f>
        <v>56000</v>
      </c>
      <c r="E71" s="14" t="s">
        <v>66</v>
      </c>
      <c r="F71" s="14" t="s">
        <v>93</v>
      </c>
    </row>
    <row r="72" spans="1:6" x14ac:dyDescent="0.3">
      <c r="A72" s="40">
        <v>42963.410889363426</v>
      </c>
      <c r="B72" s="14" t="s">
        <v>52</v>
      </c>
      <c r="C72" s="14">
        <v>27</v>
      </c>
      <c r="D72" s="47">
        <f>VLOOKUP(Добавить18[[#This Row],[Товар]],Итоговая!$G$1:$H$14,2,0)*Добавить18[[#This Row],[количество_единиц_товара]]</f>
        <v>18360</v>
      </c>
      <c r="E72" s="14" t="s">
        <v>67</v>
      </c>
      <c r="F72" s="14" t="s">
        <v>93</v>
      </c>
    </row>
    <row r="73" spans="1:6" x14ac:dyDescent="0.3">
      <c r="A73" s="40">
        <v>42963.83588979167</v>
      </c>
      <c r="B73" s="14" t="s">
        <v>59</v>
      </c>
      <c r="C73" s="14">
        <v>22</v>
      </c>
      <c r="D73" s="47">
        <f>VLOOKUP(Добавить18[[#This Row],[Товар]],Итоговая!$G$1:$H$14,2,0)*Добавить18[[#This Row],[количество_единиц_товара]]</f>
        <v>44000</v>
      </c>
      <c r="E73" s="14" t="s">
        <v>67</v>
      </c>
      <c r="F73" s="14" t="s">
        <v>93</v>
      </c>
    </row>
    <row r="74" spans="1:6" x14ac:dyDescent="0.3">
      <c r="A74" s="40">
        <v>43004.514898587964</v>
      </c>
      <c r="B74" s="14" t="s">
        <v>58</v>
      </c>
      <c r="C74" s="14">
        <v>33</v>
      </c>
      <c r="D74" s="47">
        <f>VLOOKUP(Добавить18[[#This Row],[Товар]],Итоговая!$G$1:$H$14,2,0)*Добавить18[[#This Row],[количество_единиц_товара]]</f>
        <v>147015</v>
      </c>
      <c r="E74" s="14" t="s">
        <v>66</v>
      </c>
      <c r="F74" s="14" t="s">
        <v>93</v>
      </c>
    </row>
    <row r="75" spans="1:6" x14ac:dyDescent="0.3">
      <c r="A75" s="40">
        <v>43019.085691180553</v>
      </c>
      <c r="B75" s="14" t="s">
        <v>59</v>
      </c>
      <c r="C75" s="14">
        <v>22</v>
      </c>
      <c r="D75" s="47">
        <f>VLOOKUP(Добавить18[[#This Row],[Товар]],Итоговая!$G$1:$H$14,2,0)*Добавить18[[#This Row],[количество_единиц_товара]]</f>
        <v>44000</v>
      </c>
      <c r="E75" s="14" t="s">
        <v>67</v>
      </c>
      <c r="F75" s="14" t="s">
        <v>93</v>
      </c>
    </row>
    <row r="76" spans="1:6" x14ac:dyDescent="0.3">
      <c r="A76" s="40">
        <v>43019.387266898149</v>
      </c>
      <c r="B76" s="14" t="s">
        <v>57</v>
      </c>
      <c r="C76" s="14">
        <v>35</v>
      </c>
      <c r="D76" s="47">
        <f>VLOOKUP(Добавить18[[#This Row],[Товар]],Итоговая!$G$1:$H$14,2,0)*Добавить18[[#This Row],[количество_единиц_товара]]</f>
        <v>132860</v>
      </c>
      <c r="E76" s="14" t="s">
        <v>67</v>
      </c>
      <c r="F76" s="14" t="s">
        <v>93</v>
      </c>
    </row>
    <row r="77" spans="1:6" x14ac:dyDescent="0.3">
      <c r="A77" s="40">
        <v>43032.442486493055</v>
      </c>
      <c r="B77" s="14" t="s">
        <v>51</v>
      </c>
      <c r="C77" s="14">
        <v>27</v>
      </c>
      <c r="D77" s="47">
        <f>VLOOKUP(Добавить18[[#This Row],[Товар]],Итоговая!$G$1:$H$14,2,0)*Добавить18[[#This Row],[количество_единиц_товара]]</f>
        <v>69120</v>
      </c>
      <c r="E77" s="14" t="s">
        <v>68</v>
      </c>
      <c r="F77" s="14" t="s">
        <v>93</v>
      </c>
    </row>
    <row r="78" spans="1:6" x14ac:dyDescent="0.3">
      <c r="A78" s="40">
        <v>43033.002971516202</v>
      </c>
      <c r="B78" s="14" t="s">
        <v>55</v>
      </c>
      <c r="C78" s="14">
        <v>39</v>
      </c>
      <c r="D78" s="47">
        <f>VLOOKUP(Добавить18[[#This Row],[Товар]],Итоговая!$G$1:$H$14,2,0)*Добавить18[[#This Row],[количество_единиц_товара]]</f>
        <v>175500</v>
      </c>
      <c r="E78" s="14" t="s">
        <v>66</v>
      </c>
      <c r="F78" s="14" t="s">
        <v>93</v>
      </c>
    </row>
    <row r="79" spans="1:6" x14ac:dyDescent="0.3">
      <c r="A79" s="40">
        <v>43035.931211145835</v>
      </c>
      <c r="B79" s="14" t="s">
        <v>52</v>
      </c>
      <c r="C79" s="14">
        <v>24</v>
      </c>
      <c r="D79" s="47">
        <f>VLOOKUP(Добавить18[[#This Row],[Товар]],Итоговая!$G$1:$H$14,2,0)*Добавить18[[#This Row],[количество_единиц_товара]]</f>
        <v>16320</v>
      </c>
      <c r="E79" s="14" t="s">
        <v>67</v>
      </c>
      <c r="F79" s="14" t="s">
        <v>93</v>
      </c>
    </row>
    <row r="80" spans="1:6" x14ac:dyDescent="0.3">
      <c r="A80" s="40">
        <v>43038.408088449076</v>
      </c>
      <c r="B80" s="14" t="s">
        <v>56</v>
      </c>
      <c r="C80" s="14">
        <v>33</v>
      </c>
      <c r="D80" s="47">
        <f>VLOOKUP(Добавить18[[#This Row],[Товар]],Итоговая!$G$1:$H$14,2,0)*Добавить18[[#This Row],[количество_единиц_товара]]</f>
        <v>52800</v>
      </c>
      <c r="E80" s="14" t="s">
        <v>68</v>
      </c>
      <c r="F80" s="14" t="s">
        <v>93</v>
      </c>
    </row>
    <row r="81" spans="1:6" x14ac:dyDescent="0.3">
      <c r="A81" s="40">
        <v>43050.413220590279</v>
      </c>
      <c r="B81" s="14" t="s">
        <v>61</v>
      </c>
      <c r="C81" s="14">
        <v>21</v>
      </c>
      <c r="D81" s="47">
        <f>VLOOKUP(Добавить18[[#This Row],[Товар]],Итоговая!$G$1:$H$14,2,0)*Добавить18[[#This Row],[количество_единиц_товара]]</f>
        <v>72870</v>
      </c>
      <c r="E81" s="14" t="s">
        <v>66</v>
      </c>
      <c r="F81" s="14" t="s">
        <v>93</v>
      </c>
    </row>
    <row r="82" spans="1:6" x14ac:dyDescent="0.3">
      <c r="A82" s="40">
        <v>43075.740682824071</v>
      </c>
      <c r="B82" s="14" t="s">
        <v>54</v>
      </c>
      <c r="C82" s="14">
        <v>29</v>
      </c>
      <c r="D82" s="47">
        <f>VLOOKUP(Добавить18[[#This Row],[Товар]],Итоговая!$G$1:$H$14,2,0)*Добавить18[[#This Row],[количество_единиц_товара]]</f>
        <v>71050</v>
      </c>
      <c r="E82" s="14" t="s">
        <v>67</v>
      </c>
      <c r="F82" s="14" t="s">
        <v>93</v>
      </c>
    </row>
    <row r="83" spans="1:6" x14ac:dyDescent="0.3">
      <c r="A83" s="40">
        <v>43075.931076018518</v>
      </c>
      <c r="B83" s="14" t="s">
        <v>53</v>
      </c>
      <c r="C83" s="14">
        <v>16</v>
      </c>
      <c r="D83" s="47">
        <f>VLOOKUP(Добавить18[[#This Row],[Товар]],Итоговая!$G$1:$H$14,2,0)*Добавить18[[#This Row],[количество_единиц_товара]]</f>
        <v>28608</v>
      </c>
      <c r="E83" s="14" t="s">
        <v>68</v>
      </c>
      <c r="F83" s="14" t="s">
        <v>93</v>
      </c>
    </row>
    <row r="84" spans="1:6" x14ac:dyDescent="0.3">
      <c r="A84" s="40">
        <v>43093.961267106482</v>
      </c>
      <c r="B84" s="14" t="s">
        <v>57</v>
      </c>
      <c r="C84" s="14">
        <v>25</v>
      </c>
      <c r="D84" s="47">
        <f>VLOOKUP(Добавить18[[#This Row],[Товар]],Итоговая!$G$1:$H$14,2,0)*Добавить18[[#This Row],[количество_единиц_товара]]</f>
        <v>94900</v>
      </c>
      <c r="E84" s="14" t="s">
        <v>66</v>
      </c>
      <c r="F84" s="14" t="s">
        <v>93</v>
      </c>
    </row>
    <row r="85" spans="1:6" x14ac:dyDescent="0.3">
      <c r="A85" s="40">
        <v>43096.755389768521</v>
      </c>
      <c r="B85" s="14" t="s">
        <v>51</v>
      </c>
      <c r="C85" s="14">
        <v>19</v>
      </c>
      <c r="D85" s="47">
        <f>VLOOKUP(Добавить18[[#This Row],[Товар]],Итоговая!$G$1:$H$14,2,0)*Добавить18[[#This Row],[количество_единиц_товара]]</f>
        <v>48640</v>
      </c>
      <c r="E85" s="14" t="s">
        <v>67</v>
      </c>
      <c r="F85" s="14" t="s">
        <v>93</v>
      </c>
    </row>
    <row r="86" spans="1:6" x14ac:dyDescent="0.3">
      <c r="A86" s="40">
        <v>43103.525760902776</v>
      </c>
      <c r="B86" s="14" t="s">
        <v>52</v>
      </c>
      <c r="C86" s="14">
        <v>15</v>
      </c>
      <c r="D86" s="47">
        <f>VLOOKUP(Добавить18[[#This Row],[Товар]],Итоговая!$G$1:$H$14,2,0)*Добавить18[[#This Row],[количество_единиц_товара]]</f>
        <v>10200</v>
      </c>
      <c r="E86" s="14" t="s">
        <v>68</v>
      </c>
      <c r="F86" s="14" t="s">
        <v>93</v>
      </c>
    </row>
    <row r="87" spans="1:6" x14ac:dyDescent="0.3">
      <c r="A87" s="40">
        <v>43112.089372696762</v>
      </c>
      <c r="B87" s="14" t="s">
        <v>50</v>
      </c>
      <c r="C87" s="14">
        <v>12</v>
      </c>
      <c r="D87" s="47">
        <f>VLOOKUP(Добавить18[[#This Row],[Товар]],Итоговая!$G$1:$H$14,2,0)*Добавить18[[#This Row],[количество_единиц_товара]]</f>
        <v>26400</v>
      </c>
      <c r="E87" s="14" t="s">
        <v>66</v>
      </c>
      <c r="F87" s="14" t="s">
        <v>93</v>
      </c>
    </row>
    <row r="88" spans="1:6" x14ac:dyDescent="0.3">
      <c r="A88" s="40">
        <v>43117.441407939812</v>
      </c>
      <c r="B88" s="14" t="s">
        <v>56</v>
      </c>
      <c r="C88" s="14">
        <v>36</v>
      </c>
      <c r="D88" s="47">
        <f>VLOOKUP(Добавить18[[#This Row],[Товар]],Итоговая!$G$1:$H$14,2,0)*Добавить18[[#This Row],[количество_единиц_товара]]</f>
        <v>57600</v>
      </c>
      <c r="E88" s="14" t="s">
        <v>67</v>
      </c>
      <c r="F88" s="14" t="s">
        <v>93</v>
      </c>
    </row>
    <row r="89" spans="1:6" x14ac:dyDescent="0.3">
      <c r="A89" s="40">
        <v>43136.332171238428</v>
      </c>
      <c r="B89" s="14" t="s">
        <v>58</v>
      </c>
      <c r="C89" s="14">
        <v>22</v>
      </c>
      <c r="D89" s="47">
        <f>VLOOKUP(Добавить18[[#This Row],[Товар]],Итоговая!$G$1:$H$14,2,0)*Добавить18[[#This Row],[количество_единиц_товара]]</f>
        <v>98010</v>
      </c>
      <c r="E89" s="14" t="s">
        <v>67</v>
      </c>
      <c r="F89" s="14" t="s">
        <v>93</v>
      </c>
    </row>
    <row r="90" spans="1:6" x14ac:dyDescent="0.3">
      <c r="A90" s="40">
        <v>43145.980495613425</v>
      </c>
      <c r="B90" s="14" t="s">
        <v>52</v>
      </c>
      <c r="C90" s="14">
        <v>37</v>
      </c>
      <c r="D90" s="47">
        <f>VLOOKUP(Добавить18[[#This Row],[Товар]],Итоговая!$G$1:$H$14,2,0)*Добавить18[[#This Row],[количество_единиц_товара]]</f>
        <v>25160</v>
      </c>
      <c r="E90" s="14" t="s">
        <v>67</v>
      </c>
      <c r="F90" s="14" t="s">
        <v>93</v>
      </c>
    </row>
    <row r="91" spans="1:6" x14ac:dyDescent="0.3">
      <c r="A91" s="40">
        <v>43146.198080034723</v>
      </c>
      <c r="B91" s="14" t="s">
        <v>49</v>
      </c>
      <c r="C91" s="14">
        <v>11</v>
      </c>
      <c r="D91" s="47">
        <f>VLOOKUP(Добавить18[[#This Row],[Товар]],Итоговая!$G$1:$H$14,2,0)*Добавить18[[#This Row],[количество_единиц_товара]]</f>
        <v>34100</v>
      </c>
      <c r="E91" s="14" t="s">
        <v>67</v>
      </c>
      <c r="F91" s="14" t="s">
        <v>93</v>
      </c>
    </row>
    <row r="92" spans="1:6" x14ac:dyDescent="0.3">
      <c r="A92" s="40">
        <v>43151.142801111113</v>
      </c>
      <c r="B92" s="14" t="s">
        <v>50</v>
      </c>
      <c r="C92" s="14">
        <v>18</v>
      </c>
      <c r="D92" s="47">
        <f>VLOOKUP(Добавить18[[#This Row],[Товар]],Итоговая!$G$1:$H$14,2,0)*Добавить18[[#This Row],[количество_единиц_товара]]</f>
        <v>39600</v>
      </c>
      <c r="E92" s="14" t="s">
        <v>67</v>
      </c>
      <c r="F92" s="14" t="s">
        <v>93</v>
      </c>
    </row>
    <row r="93" spans="1:6" x14ac:dyDescent="0.3">
      <c r="A93" s="40">
        <v>43163.993305543983</v>
      </c>
      <c r="B93" s="14" t="s">
        <v>60</v>
      </c>
      <c r="C93" s="14">
        <v>35</v>
      </c>
      <c r="D93" s="47">
        <f>VLOOKUP(Добавить18[[#This Row],[Товар]],Итоговая!$G$1:$H$14,2,0)*Добавить18[[#This Row],[количество_единиц_товара]]</f>
        <v>202615</v>
      </c>
      <c r="E93" s="14" t="s">
        <v>67</v>
      </c>
      <c r="F93" s="14" t="s">
        <v>93</v>
      </c>
    </row>
    <row r="94" spans="1:6" x14ac:dyDescent="0.3">
      <c r="A94" s="40">
        <v>43164.931504699074</v>
      </c>
      <c r="B94" s="14" t="s">
        <v>52</v>
      </c>
      <c r="C94" s="14">
        <v>24</v>
      </c>
      <c r="D94" s="47">
        <f>VLOOKUP(Добавить18[[#This Row],[Товар]],Итоговая!$G$1:$H$14,2,0)*Добавить18[[#This Row],[количество_единиц_товара]]</f>
        <v>16320</v>
      </c>
      <c r="E94" s="14" t="s">
        <v>67</v>
      </c>
      <c r="F94" s="14" t="s">
        <v>93</v>
      </c>
    </row>
    <row r="95" spans="1:6" x14ac:dyDescent="0.3">
      <c r="A95" s="40">
        <v>43179.439402951386</v>
      </c>
      <c r="B95" s="14" t="s">
        <v>49</v>
      </c>
      <c r="C95" s="14">
        <v>18</v>
      </c>
      <c r="D95" s="47">
        <f>VLOOKUP(Добавить18[[#This Row],[Товар]],Итоговая!$G$1:$H$14,2,0)*Добавить18[[#This Row],[количество_единиц_товара]]</f>
        <v>55800</v>
      </c>
      <c r="E95" s="14" t="s">
        <v>67</v>
      </c>
      <c r="F95" s="14" t="s">
        <v>93</v>
      </c>
    </row>
    <row r="96" spans="1:6" x14ac:dyDescent="0.3">
      <c r="A96" s="40">
        <v>43183.586036747685</v>
      </c>
      <c r="B96" s="14" t="s">
        <v>52</v>
      </c>
      <c r="C96" s="14">
        <v>15</v>
      </c>
      <c r="D96" s="47">
        <f>VLOOKUP(Добавить18[[#This Row],[Товар]],Итоговая!$G$1:$H$14,2,0)*Добавить18[[#This Row],[количество_единиц_товара]]</f>
        <v>10200</v>
      </c>
      <c r="E96" s="14" t="s">
        <v>67</v>
      </c>
      <c r="F96" s="14" t="s">
        <v>93</v>
      </c>
    </row>
    <row r="97" spans="1:6" x14ac:dyDescent="0.3">
      <c r="A97" s="40">
        <v>43187.752360925922</v>
      </c>
      <c r="B97" s="14" t="s">
        <v>56</v>
      </c>
      <c r="C97" s="14">
        <v>30</v>
      </c>
      <c r="D97" s="47">
        <f>VLOOKUP(Добавить18[[#This Row],[Товар]],Итоговая!$G$1:$H$14,2,0)*Добавить18[[#This Row],[количество_единиц_товара]]</f>
        <v>48000</v>
      </c>
      <c r="E97" s="14" t="s">
        <v>67</v>
      </c>
      <c r="F97" s="14" t="s">
        <v>93</v>
      </c>
    </row>
    <row r="98" spans="1:6" x14ac:dyDescent="0.3">
      <c r="A98" s="40">
        <v>43195.09917898148</v>
      </c>
      <c r="B98" s="14" t="s">
        <v>58</v>
      </c>
      <c r="C98" s="14">
        <v>26</v>
      </c>
      <c r="D98" s="47">
        <f>VLOOKUP(Добавить18[[#This Row],[Товар]],Итоговая!$G$1:$H$14,2,0)*Добавить18[[#This Row],[количество_единиц_товара]]</f>
        <v>115830</v>
      </c>
      <c r="E98" s="14" t="s">
        <v>68</v>
      </c>
      <c r="F98" s="14" t="s">
        <v>93</v>
      </c>
    </row>
    <row r="99" spans="1:6" x14ac:dyDescent="0.3">
      <c r="A99" s="40">
        <v>43203.417422847226</v>
      </c>
      <c r="B99" s="14" t="s">
        <v>52</v>
      </c>
      <c r="C99" s="14">
        <v>24</v>
      </c>
      <c r="D99" s="47">
        <f>VLOOKUP(Добавить18[[#This Row],[Товар]],Итоговая!$G$1:$H$14,2,0)*Добавить18[[#This Row],[количество_единиц_товара]]</f>
        <v>16320</v>
      </c>
      <c r="E99" s="14" t="s">
        <v>68</v>
      </c>
      <c r="F99" s="14" t="s">
        <v>93</v>
      </c>
    </row>
    <row r="100" spans="1:6" x14ac:dyDescent="0.3">
      <c r="A100" s="40">
        <v>43219.541306631945</v>
      </c>
      <c r="B100" s="14" t="s">
        <v>51</v>
      </c>
      <c r="C100" s="14">
        <v>31</v>
      </c>
      <c r="D100" s="47">
        <f>VLOOKUP(Добавить18[[#This Row],[Товар]],Итоговая!$G$1:$H$14,2,0)*Добавить18[[#This Row],[количество_единиц_товара]]</f>
        <v>79360</v>
      </c>
      <c r="E100" s="14" t="s">
        <v>68</v>
      </c>
      <c r="F100" s="14" t="s">
        <v>93</v>
      </c>
    </row>
    <row r="101" spans="1:6" x14ac:dyDescent="0.3">
      <c r="A101" s="40">
        <v>43230.485489039354</v>
      </c>
      <c r="B101" s="14" t="s">
        <v>59</v>
      </c>
      <c r="C101" s="14">
        <v>16</v>
      </c>
      <c r="D101" s="47">
        <f>VLOOKUP(Добавить18[[#This Row],[Товар]],Итоговая!$G$1:$H$14,2,0)*Добавить18[[#This Row],[количество_единиц_товара]]</f>
        <v>32000</v>
      </c>
      <c r="E101" s="14" t="s">
        <v>68</v>
      </c>
      <c r="F101" s="14" t="s">
        <v>93</v>
      </c>
    </row>
    <row r="102" spans="1:6" x14ac:dyDescent="0.3">
      <c r="A102" s="40">
        <v>43234.86607084491</v>
      </c>
      <c r="B102" s="14" t="s">
        <v>53</v>
      </c>
      <c r="C102" s="14">
        <v>35</v>
      </c>
      <c r="D102" s="47">
        <f>VLOOKUP(Добавить18[[#This Row],[Товар]],Итоговая!$G$1:$H$14,2,0)*Добавить18[[#This Row],[количество_единиц_товара]]</f>
        <v>62580</v>
      </c>
      <c r="E102" s="14" t="s">
        <v>66</v>
      </c>
      <c r="F102" s="14" t="s">
        <v>93</v>
      </c>
    </row>
    <row r="103" spans="1:6" x14ac:dyDescent="0.3">
      <c r="A103" s="40">
        <v>43237.360947152774</v>
      </c>
      <c r="B103" s="14" t="s">
        <v>51</v>
      </c>
      <c r="C103" s="14">
        <v>17</v>
      </c>
      <c r="D103" s="47">
        <f>VLOOKUP(Добавить18[[#This Row],[Товар]],Итоговая!$G$1:$H$14,2,0)*Добавить18[[#This Row],[количество_единиц_товара]]</f>
        <v>43520</v>
      </c>
      <c r="E103" s="14" t="s">
        <v>67</v>
      </c>
      <c r="F103" s="14" t="s">
        <v>93</v>
      </c>
    </row>
    <row r="104" spans="1:6" x14ac:dyDescent="0.3">
      <c r="A104" s="40">
        <v>43249.825416331019</v>
      </c>
      <c r="B104" s="14" t="s">
        <v>60</v>
      </c>
      <c r="C104" s="14">
        <v>30</v>
      </c>
      <c r="D104" s="47">
        <f>VLOOKUP(Добавить18[[#This Row],[Товар]],Итоговая!$G$1:$H$14,2,0)*Добавить18[[#This Row],[количество_единиц_товара]]</f>
        <v>173670</v>
      </c>
      <c r="E104" s="14" t="s">
        <v>67</v>
      </c>
      <c r="F104" s="14" t="s">
        <v>93</v>
      </c>
    </row>
    <row r="105" spans="1:6" x14ac:dyDescent="0.3">
      <c r="A105" s="40">
        <v>43250.83344357639</v>
      </c>
      <c r="B105" s="14" t="s">
        <v>50</v>
      </c>
      <c r="C105" s="14">
        <v>17</v>
      </c>
      <c r="D105" s="47">
        <f>VLOOKUP(Добавить18[[#This Row],[Товар]],Итоговая!$G$1:$H$14,2,0)*Добавить18[[#This Row],[количество_единиц_товара]]</f>
        <v>37400</v>
      </c>
      <c r="E105" s="14" t="s">
        <v>66</v>
      </c>
      <c r="F105" s="14" t="s">
        <v>93</v>
      </c>
    </row>
    <row r="106" spans="1:6" x14ac:dyDescent="0.3">
      <c r="A106" s="40">
        <v>43259.910029155093</v>
      </c>
      <c r="B106" s="14" t="s">
        <v>54</v>
      </c>
      <c r="C106" s="14">
        <v>34</v>
      </c>
      <c r="D106" s="47">
        <f>VLOOKUP(Добавить18[[#This Row],[Товар]],Итоговая!$G$1:$H$14,2,0)*Добавить18[[#This Row],[количество_единиц_товара]]</f>
        <v>83300</v>
      </c>
      <c r="E106" s="14" t="s">
        <v>67</v>
      </c>
      <c r="F106" s="14" t="s">
        <v>93</v>
      </c>
    </row>
    <row r="107" spans="1:6" x14ac:dyDescent="0.3">
      <c r="A107" s="40">
        <v>43284.145871400462</v>
      </c>
      <c r="B107" s="14" t="s">
        <v>53</v>
      </c>
      <c r="C107" s="14">
        <v>24</v>
      </c>
      <c r="D107" s="47">
        <f>VLOOKUP(Добавить18[[#This Row],[Товар]],Итоговая!$G$1:$H$14,2,0)*Добавить18[[#This Row],[количество_единиц_товара]]</f>
        <v>42912</v>
      </c>
      <c r="E107" s="14" t="s">
        <v>67</v>
      </c>
      <c r="F107" s="14" t="s">
        <v>93</v>
      </c>
    </row>
    <row r="108" spans="1:6" x14ac:dyDescent="0.3">
      <c r="A108" s="40">
        <v>43284.688682615742</v>
      </c>
      <c r="B108" s="14" t="s">
        <v>59</v>
      </c>
      <c r="C108" s="14">
        <v>16</v>
      </c>
      <c r="D108" s="47">
        <f>VLOOKUP(Добавить18[[#This Row],[Товар]],Итоговая!$G$1:$H$14,2,0)*Добавить18[[#This Row],[количество_единиц_товара]]</f>
        <v>32000</v>
      </c>
      <c r="E108" s="14" t="s">
        <v>66</v>
      </c>
      <c r="F108" s="14" t="s">
        <v>93</v>
      </c>
    </row>
    <row r="109" spans="1:6" x14ac:dyDescent="0.3">
      <c r="A109" s="40">
        <v>43287.522101817129</v>
      </c>
      <c r="B109" s="14" t="s">
        <v>52</v>
      </c>
      <c r="C109" s="14">
        <v>14</v>
      </c>
      <c r="D109" s="47">
        <f>VLOOKUP(Добавить18[[#This Row],[Товар]],Итоговая!$G$1:$H$14,2,0)*Добавить18[[#This Row],[количество_единиц_товара]]</f>
        <v>9520</v>
      </c>
      <c r="E109" s="14" t="s">
        <v>67</v>
      </c>
      <c r="F109" s="14" t="s">
        <v>93</v>
      </c>
    </row>
    <row r="110" spans="1:6" x14ac:dyDescent="0.3">
      <c r="A110" s="40">
        <v>43287.859716851854</v>
      </c>
      <c r="B110" s="14" t="s">
        <v>60</v>
      </c>
      <c r="C110" s="14">
        <v>27</v>
      </c>
      <c r="D110" s="47">
        <f>VLOOKUP(Добавить18[[#This Row],[Товар]],Итоговая!$G$1:$H$14,2,0)*Добавить18[[#This Row],[количество_единиц_товара]]</f>
        <v>156303</v>
      </c>
      <c r="E110" s="14" t="s">
        <v>67</v>
      </c>
      <c r="F110" s="14" t="s">
        <v>93</v>
      </c>
    </row>
    <row r="111" spans="1:6" x14ac:dyDescent="0.3">
      <c r="A111" s="40">
        <v>43300.698959409725</v>
      </c>
      <c r="B111" s="14" t="s">
        <v>56</v>
      </c>
      <c r="C111" s="14">
        <v>22</v>
      </c>
      <c r="D111" s="47">
        <f>VLOOKUP(Добавить18[[#This Row],[Товар]],Итоговая!$G$1:$H$14,2,0)*Добавить18[[#This Row],[количество_единиц_товара]]</f>
        <v>35200</v>
      </c>
      <c r="E111" s="14" t="s">
        <v>66</v>
      </c>
      <c r="F111" s="14" t="s">
        <v>93</v>
      </c>
    </row>
    <row r="112" spans="1:6" x14ac:dyDescent="0.3">
      <c r="A112" s="40">
        <v>43307.581683171295</v>
      </c>
      <c r="B112" s="14" t="s">
        <v>49</v>
      </c>
      <c r="C112" s="14">
        <v>24</v>
      </c>
      <c r="D112" s="47">
        <f>VLOOKUP(Добавить18[[#This Row],[Товар]],Итоговая!$G$1:$H$14,2,0)*Добавить18[[#This Row],[количество_единиц_товара]]</f>
        <v>74400</v>
      </c>
      <c r="E112" s="14" t="s">
        <v>67</v>
      </c>
      <c r="F112" s="14" t="s">
        <v>93</v>
      </c>
    </row>
    <row r="113" spans="1:6" x14ac:dyDescent="0.3">
      <c r="A113" s="40">
        <v>43310.215491875002</v>
      </c>
      <c r="B113" s="14" t="s">
        <v>52</v>
      </c>
      <c r="C113" s="14">
        <v>30</v>
      </c>
      <c r="D113" s="47">
        <f>VLOOKUP(Добавить18[[#This Row],[Товар]],Итоговая!$G$1:$H$14,2,0)*Добавить18[[#This Row],[количество_единиц_товара]]</f>
        <v>20400</v>
      </c>
      <c r="E113" s="14" t="s">
        <v>67</v>
      </c>
      <c r="F113" s="14" t="s">
        <v>93</v>
      </c>
    </row>
    <row r="114" spans="1:6" x14ac:dyDescent="0.3">
      <c r="A114" s="40">
        <v>43332.663975659721</v>
      </c>
      <c r="B114" s="14" t="s">
        <v>51</v>
      </c>
      <c r="C114" s="14">
        <v>11</v>
      </c>
      <c r="D114" s="47">
        <f>VLOOKUP(Добавить18[[#This Row],[Товар]],Итоговая!$G$1:$H$14,2,0)*Добавить18[[#This Row],[количество_единиц_товара]]</f>
        <v>28160</v>
      </c>
      <c r="E114" s="14" t="s">
        <v>67</v>
      </c>
      <c r="F114" s="14" t="s">
        <v>93</v>
      </c>
    </row>
    <row r="115" spans="1:6" x14ac:dyDescent="0.3">
      <c r="A115" s="40">
        <v>43345.614149537039</v>
      </c>
      <c r="B115" s="14" t="s">
        <v>52</v>
      </c>
      <c r="C115" s="14">
        <v>15</v>
      </c>
      <c r="D115" s="47">
        <f>VLOOKUP(Добавить18[[#This Row],[Товар]],Итоговая!$G$1:$H$14,2,0)*Добавить18[[#This Row],[количество_единиц_товара]]</f>
        <v>10200</v>
      </c>
      <c r="E115" s="14" t="s">
        <v>68</v>
      </c>
      <c r="F115" s="14" t="s">
        <v>93</v>
      </c>
    </row>
    <row r="116" spans="1:6" x14ac:dyDescent="0.3">
      <c r="A116" s="40">
        <v>43355.777920960645</v>
      </c>
      <c r="B116" s="14" t="s">
        <v>54</v>
      </c>
      <c r="C116" s="14">
        <v>34</v>
      </c>
      <c r="D116" s="47">
        <f>VLOOKUP(Добавить18[[#This Row],[Товар]],Итоговая!$G$1:$H$14,2,0)*Добавить18[[#This Row],[количество_единиц_товара]]</f>
        <v>83300</v>
      </c>
      <c r="E116" s="14" t="s">
        <v>68</v>
      </c>
      <c r="F116" s="14" t="s">
        <v>93</v>
      </c>
    </row>
    <row r="117" spans="1:6" x14ac:dyDescent="0.3">
      <c r="A117" s="40">
        <v>43363.077609953703</v>
      </c>
      <c r="B117" s="14" t="s">
        <v>53</v>
      </c>
      <c r="C117" s="14">
        <v>14</v>
      </c>
      <c r="D117" s="47">
        <f>VLOOKUP(Добавить18[[#This Row],[Товар]],Итоговая!$G$1:$H$14,2,0)*Добавить18[[#This Row],[количество_единиц_товара]]</f>
        <v>25032</v>
      </c>
      <c r="E117" s="14" t="s">
        <v>68</v>
      </c>
      <c r="F117" s="14" t="s">
        <v>93</v>
      </c>
    </row>
    <row r="118" spans="1:6" x14ac:dyDescent="0.3">
      <c r="A118" s="40">
        <v>43398.090189965274</v>
      </c>
      <c r="B118" s="14" t="s">
        <v>59</v>
      </c>
      <c r="C118" s="14">
        <v>11</v>
      </c>
      <c r="D118" s="47">
        <f>VLOOKUP(Добавить18[[#This Row],[Товар]],Итоговая!$G$1:$H$14,2,0)*Добавить18[[#This Row],[количество_единиц_товара]]</f>
        <v>22000</v>
      </c>
      <c r="E118" s="14" t="s">
        <v>67</v>
      </c>
      <c r="F118" s="14" t="s">
        <v>93</v>
      </c>
    </row>
    <row r="119" spans="1:6" x14ac:dyDescent="0.3">
      <c r="A119" s="40">
        <v>43398.488037361109</v>
      </c>
      <c r="B119" s="14" t="s">
        <v>52</v>
      </c>
      <c r="C119" s="14">
        <v>18</v>
      </c>
      <c r="D119" s="47">
        <f>VLOOKUP(Добавить18[[#This Row],[Товар]],Итоговая!$G$1:$H$14,2,0)*Добавить18[[#This Row],[количество_единиц_товара]]</f>
        <v>12240</v>
      </c>
      <c r="E119" s="14" t="s">
        <v>68</v>
      </c>
      <c r="F119" s="14" t="s">
        <v>93</v>
      </c>
    </row>
    <row r="120" spans="1:6" x14ac:dyDescent="0.3">
      <c r="A120" s="40">
        <v>43403.200350266205</v>
      </c>
      <c r="B120" s="14" t="s">
        <v>56</v>
      </c>
      <c r="C120" s="14">
        <v>13</v>
      </c>
      <c r="D120" s="47">
        <f>VLOOKUP(Добавить18[[#This Row],[Товар]],Итоговая!$G$1:$H$14,2,0)*Добавить18[[#This Row],[количество_единиц_товара]]</f>
        <v>20800</v>
      </c>
      <c r="E120" s="14" t="s">
        <v>68</v>
      </c>
      <c r="F120" s="14" t="s">
        <v>93</v>
      </c>
    </row>
    <row r="121" spans="1:6" x14ac:dyDescent="0.3">
      <c r="A121" s="40">
        <v>43406.964917997684</v>
      </c>
      <c r="B121" s="14" t="s">
        <v>50</v>
      </c>
      <c r="C121" s="14">
        <v>23</v>
      </c>
      <c r="D121" s="47">
        <f>VLOOKUP(Добавить18[[#This Row],[Товар]],Итоговая!$G$1:$H$14,2,0)*Добавить18[[#This Row],[количество_единиц_товара]]</f>
        <v>50600</v>
      </c>
      <c r="E121" s="14" t="s">
        <v>68</v>
      </c>
      <c r="F121" s="14" t="s">
        <v>93</v>
      </c>
    </row>
    <row r="122" spans="1:6" x14ac:dyDescent="0.3">
      <c r="A122" s="40">
        <v>43407.326755289352</v>
      </c>
      <c r="B122" s="14" t="s">
        <v>52</v>
      </c>
      <c r="C122" s="14">
        <v>18</v>
      </c>
      <c r="D122" s="47">
        <f>VLOOKUP(Добавить18[[#This Row],[Товар]],Итоговая!$G$1:$H$14,2,0)*Добавить18[[#This Row],[количество_единиц_товара]]</f>
        <v>12240</v>
      </c>
      <c r="E122" s="14" t="s">
        <v>67</v>
      </c>
      <c r="F122" s="14" t="s">
        <v>93</v>
      </c>
    </row>
    <row r="123" spans="1:6" x14ac:dyDescent="0.3">
      <c r="A123" s="40">
        <v>43408.261308148147</v>
      </c>
      <c r="B123" s="14" t="s">
        <v>51</v>
      </c>
      <c r="C123" s="14">
        <v>17</v>
      </c>
      <c r="D123" s="47">
        <f>VLOOKUP(Добавить18[[#This Row],[Товар]],Итоговая!$G$1:$H$14,2,0)*Добавить18[[#This Row],[количество_единиц_товара]]</f>
        <v>43520</v>
      </c>
      <c r="E123" s="14" t="s">
        <v>66</v>
      </c>
      <c r="F123" s="14" t="s">
        <v>93</v>
      </c>
    </row>
    <row r="124" spans="1:6" x14ac:dyDescent="0.3">
      <c r="A124" s="40">
        <v>43432.191263807872</v>
      </c>
      <c r="B124" s="14" t="s">
        <v>56</v>
      </c>
      <c r="C124" s="14">
        <v>22</v>
      </c>
      <c r="D124" s="47">
        <f>VLOOKUP(Добавить18[[#This Row],[Товар]],Итоговая!$G$1:$H$14,2,0)*Добавить18[[#This Row],[количество_единиц_товара]]</f>
        <v>35200</v>
      </c>
      <c r="E124" s="14" t="s">
        <v>67</v>
      </c>
      <c r="F124" s="14" t="s">
        <v>93</v>
      </c>
    </row>
    <row r="125" spans="1:6" x14ac:dyDescent="0.3">
      <c r="A125" s="40">
        <v>43437.237448553242</v>
      </c>
      <c r="B125" s="14" t="s">
        <v>59</v>
      </c>
      <c r="C125" s="14">
        <v>26</v>
      </c>
      <c r="D125" s="47">
        <f>VLOOKUP(Добавить18[[#This Row],[Товар]],Итоговая!$G$1:$H$14,2,0)*Добавить18[[#This Row],[количество_единиц_товара]]</f>
        <v>52000</v>
      </c>
      <c r="E125" s="14" t="s">
        <v>66</v>
      </c>
      <c r="F125" s="14" t="s">
        <v>93</v>
      </c>
    </row>
    <row r="126" spans="1:6" x14ac:dyDescent="0.3">
      <c r="A126" s="40">
        <v>43453.551812280093</v>
      </c>
      <c r="B126" s="14" t="s">
        <v>51</v>
      </c>
      <c r="C126" s="14">
        <v>21</v>
      </c>
      <c r="D126" s="47">
        <f>VLOOKUP(Добавить18[[#This Row],[Товар]],Итоговая!$G$1:$H$14,2,0)*Добавить18[[#This Row],[количество_единиц_товара]]</f>
        <v>53760</v>
      </c>
      <c r="E126" s="14" t="s">
        <v>67</v>
      </c>
      <c r="F126" s="14" t="s">
        <v>93</v>
      </c>
    </row>
    <row r="127" spans="1:6" x14ac:dyDescent="0.3">
      <c r="A127" s="40">
        <v>43453.881745474537</v>
      </c>
      <c r="B127" s="14" t="s">
        <v>59</v>
      </c>
      <c r="C127" s="14">
        <v>28</v>
      </c>
      <c r="D127" s="47">
        <f>VLOOKUP(Добавить18[[#This Row],[Товар]],Итоговая!$G$1:$H$14,2,0)*Добавить18[[#This Row],[количество_единиц_товара]]</f>
        <v>56000</v>
      </c>
      <c r="E127" s="14" t="s">
        <v>66</v>
      </c>
      <c r="F127" s="14" t="s">
        <v>93</v>
      </c>
    </row>
    <row r="128" spans="1:6" x14ac:dyDescent="0.3">
      <c r="A128" s="40">
        <v>43461.674895497687</v>
      </c>
      <c r="B128" s="14" t="s">
        <v>52</v>
      </c>
      <c r="C128" s="14">
        <v>18</v>
      </c>
      <c r="D128" s="47">
        <f>VLOOKUP(Добавить18[[#This Row],[Товар]],Итоговая!$G$1:$H$14,2,0)*Добавить18[[#This Row],[количество_единиц_товара]]</f>
        <v>12240</v>
      </c>
      <c r="E128" s="14" t="s">
        <v>67</v>
      </c>
      <c r="F128" s="14" t="s">
        <v>93</v>
      </c>
    </row>
    <row r="129" spans="1:6" x14ac:dyDescent="0.3">
      <c r="A129" s="40">
        <v>43474.409701157405</v>
      </c>
      <c r="B129" s="14" t="s">
        <v>59</v>
      </c>
      <c r="C129" s="14">
        <v>14</v>
      </c>
      <c r="D129" s="47">
        <f>VLOOKUP(Добавить18[[#This Row],[Товар]],Итоговая!$G$1:$H$14,2,0)*Добавить18[[#This Row],[количество_единиц_товара]]</f>
        <v>28000</v>
      </c>
      <c r="E129" s="14" t="s">
        <v>66</v>
      </c>
      <c r="F129" s="14" t="s">
        <v>93</v>
      </c>
    </row>
    <row r="130" spans="1:6" x14ac:dyDescent="0.3">
      <c r="A130" s="40">
        <v>43484.298837037037</v>
      </c>
      <c r="B130" s="14" t="s">
        <v>56</v>
      </c>
      <c r="C130" s="14">
        <v>13</v>
      </c>
      <c r="D130" s="47">
        <f>VLOOKUP(Добавить18[[#This Row],[Товар]],Итоговая!$G$1:$H$14,2,0)*Добавить18[[#This Row],[количество_единиц_товара]]</f>
        <v>20800</v>
      </c>
      <c r="E130" s="14" t="s">
        <v>67</v>
      </c>
      <c r="F130" s="14" t="s">
        <v>93</v>
      </c>
    </row>
    <row r="131" spans="1:6" x14ac:dyDescent="0.3">
      <c r="A131" s="40">
        <v>43488.168081655094</v>
      </c>
      <c r="B131" s="14" t="s">
        <v>61</v>
      </c>
      <c r="C131" s="14">
        <v>26</v>
      </c>
      <c r="D131" s="47">
        <f>VLOOKUP(Добавить18[[#This Row],[Товар]],Итоговая!$G$1:$H$14,2,0)*Добавить18[[#This Row],[количество_единиц_товара]]</f>
        <v>90220</v>
      </c>
      <c r="E131" s="14" t="s">
        <v>66</v>
      </c>
      <c r="F131" s="14" t="s">
        <v>93</v>
      </c>
    </row>
    <row r="132" spans="1:6" x14ac:dyDescent="0.3">
      <c r="A132" s="40">
        <v>43492.683380995368</v>
      </c>
      <c r="B132" s="14" t="s">
        <v>56</v>
      </c>
      <c r="C132" s="14">
        <v>29</v>
      </c>
      <c r="D132" s="47">
        <f>VLOOKUP(Добавить18[[#This Row],[Товар]],Итоговая!$G$1:$H$14,2,0)*Добавить18[[#This Row],[количество_единиц_товара]]</f>
        <v>46400</v>
      </c>
      <c r="E132" s="14" t="s">
        <v>66</v>
      </c>
      <c r="F132" s="14" t="s">
        <v>93</v>
      </c>
    </row>
    <row r="133" spans="1:6" x14ac:dyDescent="0.3">
      <c r="A133" s="40">
        <v>43511.448742939814</v>
      </c>
      <c r="B133" s="14" t="s">
        <v>51</v>
      </c>
      <c r="C133" s="14">
        <v>23</v>
      </c>
      <c r="D133" s="47">
        <f>VLOOKUP(Добавить18[[#This Row],[Товар]],Итоговая!$G$1:$H$14,2,0)*Добавить18[[#This Row],[количество_единиц_товара]]</f>
        <v>58880</v>
      </c>
      <c r="E133" s="14" t="s">
        <v>66</v>
      </c>
      <c r="F133" s="14" t="s">
        <v>93</v>
      </c>
    </row>
    <row r="134" spans="1:6" x14ac:dyDescent="0.3">
      <c r="A134" s="40">
        <v>43514.362863425929</v>
      </c>
      <c r="B134" s="14" t="s">
        <v>52</v>
      </c>
      <c r="C134" s="14">
        <v>14</v>
      </c>
      <c r="D134" s="47">
        <f>VLOOKUP(Добавить18[[#This Row],[Товар]],Итоговая!$G$1:$H$14,2,0)*Добавить18[[#This Row],[количество_единиц_товара]]</f>
        <v>9520</v>
      </c>
      <c r="E134" s="14" t="s">
        <v>66</v>
      </c>
      <c r="F134" s="14" t="s">
        <v>93</v>
      </c>
    </row>
    <row r="135" spans="1:6" x14ac:dyDescent="0.3">
      <c r="A135" s="40">
        <v>43531.119654270835</v>
      </c>
      <c r="B135" s="14" t="s">
        <v>58</v>
      </c>
      <c r="C135" s="14">
        <v>23</v>
      </c>
      <c r="D135" s="47">
        <f>VLOOKUP(Добавить18[[#This Row],[Товар]],Итоговая!$G$1:$H$14,2,0)*Добавить18[[#This Row],[количество_единиц_товара]]</f>
        <v>102465</v>
      </c>
      <c r="E135" s="14" t="s">
        <v>66</v>
      </c>
      <c r="F135" s="14" t="s">
        <v>93</v>
      </c>
    </row>
    <row r="136" spans="1:6" x14ac:dyDescent="0.3">
      <c r="A136" s="40">
        <v>43541.803424837963</v>
      </c>
      <c r="B136" s="14" t="s">
        <v>49</v>
      </c>
      <c r="C136" s="14">
        <v>16</v>
      </c>
      <c r="D136" s="47">
        <f>VLOOKUP(Добавить18[[#This Row],[Товар]],Итоговая!$G$1:$H$14,2,0)*Добавить18[[#This Row],[количество_единиц_товара]]</f>
        <v>49600</v>
      </c>
      <c r="E136" s="14" t="s">
        <v>66</v>
      </c>
      <c r="F136" s="14" t="s">
        <v>93</v>
      </c>
    </row>
    <row r="137" spans="1:6" x14ac:dyDescent="0.3">
      <c r="A137" s="40">
        <v>43551.832083159723</v>
      </c>
      <c r="B137" s="14" t="s">
        <v>52</v>
      </c>
      <c r="C137" s="14">
        <v>10</v>
      </c>
      <c r="D137" s="47">
        <f>VLOOKUP(Добавить18[[#This Row],[Товар]],Итоговая!$G$1:$H$14,2,0)*Добавить18[[#This Row],[количество_единиц_товара]]</f>
        <v>6800</v>
      </c>
      <c r="E137" s="14" t="s">
        <v>66</v>
      </c>
      <c r="F137" s="14" t="s">
        <v>93</v>
      </c>
    </row>
    <row r="138" spans="1:6" x14ac:dyDescent="0.3">
      <c r="A138" s="40">
        <v>43554.147962939816</v>
      </c>
      <c r="B138" s="14" t="s">
        <v>54</v>
      </c>
      <c r="C138" s="14">
        <v>22</v>
      </c>
      <c r="D138" s="47">
        <f>VLOOKUP(Добавить18[[#This Row],[Товар]],Итоговая!$G$1:$H$14,2,0)*Добавить18[[#This Row],[количество_единиц_товара]]</f>
        <v>53900</v>
      </c>
      <c r="E138" s="14" t="s">
        <v>66</v>
      </c>
      <c r="F138" s="14" t="s">
        <v>93</v>
      </c>
    </row>
    <row r="139" spans="1:6" x14ac:dyDescent="0.3">
      <c r="A139" s="40">
        <v>43560.304251863425</v>
      </c>
      <c r="B139" s="14" t="s">
        <v>58</v>
      </c>
      <c r="C139" s="14">
        <v>33</v>
      </c>
      <c r="D139" s="47">
        <f>VLOOKUP(Добавить18[[#This Row],[Товар]],Итоговая!$G$1:$H$14,2,0)*Добавить18[[#This Row],[количество_единиц_товара]]</f>
        <v>147015</v>
      </c>
      <c r="E139" s="14" t="s">
        <v>66</v>
      </c>
      <c r="F139" s="14" t="s">
        <v>93</v>
      </c>
    </row>
    <row r="140" spans="1:6" x14ac:dyDescent="0.3">
      <c r="A140" s="40">
        <v>43565.932633738426</v>
      </c>
      <c r="B140" s="14" t="s">
        <v>50</v>
      </c>
      <c r="C140" s="14">
        <v>24</v>
      </c>
      <c r="D140" s="47">
        <f>VLOOKUP(Добавить18[[#This Row],[Товар]],Итоговая!$G$1:$H$14,2,0)*Добавить18[[#This Row],[количество_единиц_товара]]</f>
        <v>52800</v>
      </c>
      <c r="E140" s="14" t="s">
        <v>66</v>
      </c>
      <c r="F140" s="14" t="s">
        <v>93</v>
      </c>
    </row>
    <row r="141" spans="1:6" x14ac:dyDescent="0.3">
      <c r="A141" s="40">
        <v>43568.253810092596</v>
      </c>
      <c r="B141" s="14" t="s">
        <v>51</v>
      </c>
      <c r="C141" s="14">
        <v>34</v>
      </c>
      <c r="D141" s="47">
        <f>VLOOKUP(Добавить18[[#This Row],[Товар]],Итоговая!$G$1:$H$14,2,0)*Добавить18[[#This Row],[количество_единиц_товара]]</f>
        <v>87040</v>
      </c>
      <c r="E141" s="14" t="s">
        <v>68</v>
      </c>
      <c r="F141" s="14" t="s">
        <v>93</v>
      </c>
    </row>
    <row r="142" spans="1:6" x14ac:dyDescent="0.3">
      <c r="A142" s="40">
        <v>43583.900404398148</v>
      </c>
      <c r="B142" s="14" t="s">
        <v>50</v>
      </c>
      <c r="C142" s="14">
        <v>33</v>
      </c>
      <c r="D142" s="47">
        <f>VLOOKUP(Добавить18[[#This Row],[Товар]],Итоговая!$G$1:$H$14,2,0)*Добавить18[[#This Row],[количество_единиц_товара]]</f>
        <v>72600</v>
      </c>
      <c r="E142" s="14" t="s">
        <v>67</v>
      </c>
      <c r="F142" s="14" t="s">
        <v>93</v>
      </c>
    </row>
    <row r="143" spans="1:6" x14ac:dyDescent="0.3">
      <c r="A143" s="40">
        <v>43586.186710277776</v>
      </c>
      <c r="B143" s="14" t="s">
        <v>56</v>
      </c>
      <c r="C143" s="14">
        <v>22</v>
      </c>
      <c r="D143" s="47">
        <f>VLOOKUP(Добавить18[[#This Row],[Товар]],Итоговая!$G$1:$H$14,2,0)*Добавить18[[#This Row],[количество_единиц_товара]]</f>
        <v>35200</v>
      </c>
      <c r="E143" s="14" t="s">
        <v>68</v>
      </c>
      <c r="F143" s="14" t="s">
        <v>93</v>
      </c>
    </row>
    <row r="144" spans="1:6" x14ac:dyDescent="0.3">
      <c r="A144" s="40">
        <v>43595.111193865741</v>
      </c>
      <c r="B144" s="14" t="s">
        <v>49</v>
      </c>
      <c r="C144" s="14">
        <v>35</v>
      </c>
      <c r="D144" s="47">
        <f>VLOOKUP(Добавить18[[#This Row],[Товар]],Итоговая!$G$1:$H$14,2,0)*Добавить18[[#This Row],[количество_единиц_товара]]</f>
        <v>108500</v>
      </c>
      <c r="E144" s="14" t="s">
        <v>67</v>
      </c>
      <c r="F144" s="14" t="s">
        <v>93</v>
      </c>
    </row>
    <row r="145" spans="1:6" x14ac:dyDescent="0.3">
      <c r="A145" s="40">
        <v>43602.334961412038</v>
      </c>
      <c r="B145" s="14" t="s">
        <v>61</v>
      </c>
      <c r="C145" s="14">
        <v>30</v>
      </c>
      <c r="D145" s="47">
        <f>VLOOKUP(Добавить18[[#This Row],[Товар]],Итоговая!$G$1:$H$14,2,0)*Добавить18[[#This Row],[количество_единиц_товара]]</f>
        <v>104100</v>
      </c>
      <c r="E145" s="14" t="s">
        <v>68</v>
      </c>
      <c r="F145" s="14" t="s">
        <v>93</v>
      </c>
    </row>
    <row r="146" spans="1:6" x14ac:dyDescent="0.3">
      <c r="A146" s="40">
        <v>43618.331622465281</v>
      </c>
      <c r="B146" s="14" t="s">
        <v>52</v>
      </c>
      <c r="C146" s="14">
        <v>26</v>
      </c>
      <c r="D146" s="47">
        <f>VLOOKUP(Добавить18[[#This Row],[Товар]],Итоговая!$G$1:$H$14,2,0)*Добавить18[[#This Row],[количество_единиц_товара]]</f>
        <v>17680</v>
      </c>
      <c r="E146" s="14" t="s">
        <v>67</v>
      </c>
      <c r="F146" s="14" t="s">
        <v>93</v>
      </c>
    </row>
    <row r="147" spans="1:6" x14ac:dyDescent="0.3">
      <c r="A147" s="40">
        <v>43630.610431898145</v>
      </c>
      <c r="B147" s="14" t="s">
        <v>52</v>
      </c>
      <c r="C147" s="14">
        <v>10</v>
      </c>
      <c r="D147" s="47">
        <f>VLOOKUP(Добавить18[[#This Row],[Товар]],Итоговая!$G$1:$H$14,2,0)*Добавить18[[#This Row],[количество_единиц_товара]]</f>
        <v>6800</v>
      </c>
      <c r="E147" s="14" t="s">
        <v>68</v>
      </c>
      <c r="F147" s="14" t="s">
        <v>93</v>
      </c>
    </row>
    <row r="148" spans="1:6" x14ac:dyDescent="0.3">
      <c r="A148" s="40">
        <v>43635.819315694447</v>
      </c>
      <c r="B148" s="14" t="s">
        <v>51</v>
      </c>
      <c r="C148" s="14">
        <v>32</v>
      </c>
      <c r="D148" s="47">
        <f>VLOOKUP(Добавить18[[#This Row],[Товар]],Итоговая!$G$1:$H$14,2,0)*Добавить18[[#This Row],[количество_единиц_товара]]</f>
        <v>81920</v>
      </c>
      <c r="E148" s="14" t="s">
        <v>68</v>
      </c>
      <c r="F148" s="14" t="s">
        <v>93</v>
      </c>
    </row>
    <row r="149" spans="1:6" x14ac:dyDescent="0.3">
      <c r="A149" s="40">
        <v>43641.078181481484</v>
      </c>
      <c r="B149" s="14" t="s">
        <v>59</v>
      </c>
      <c r="C149" s="14">
        <v>26</v>
      </c>
      <c r="D149" s="47">
        <f>VLOOKUP(Добавить18[[#This Row],[Товар]],Итоговая!$G$1:$H$14,2,0)*Добавить18[[#This Row],[количество_единиц_товара]]</f>
        <v>52000</v>
      </c>
      <c r="E149" s="14" t="s">
        <v>68</v>
      </c>
      <c r="F149" s="14" t="s">
        <v>93</v>
      </c>
    </row>
    <row r="150" spans="1:6" x14ac:dyDescent="0.3">
      <c r="A150" s="40">
        <v>43643.935530069444</v>
      </c>
      <c r="B150" s="14" t="s">
        <v>60</v>
      </c>
      <c r="C150" s="14">
        <v>14</v>
      </c>
      <c r="D150" s="47">
        <f>VLOOKUP(Добавить18[[#This Row],[Товар]],Итоговая!$G$1:$H$14,2,0)*Добавить18[[#This Row],[количество_единиц_товара]]</f>
        <v>81046</v>
      </c>
      <c r="E150" s="14" t="s">
        <v>68</v>
      </c>
      <c r="F150" s="14" t="s">
        <v>93</v>
      </c>
    </row>
    <row r="151" spans="1:6" x14ac:dyDescent="0.3">
      <c r="A151" s="40">
        <v>43659.431764189816</v>
      </c>
      <c r="B151" s="14" t="s">
        <v>61</v>
      </c>
      <c r="C151" s="14">
        <v>17</v>
      </c>
      <c r="D151" s="47">
        <f>VLOOKUP(Добавить18[[#This Row],[Товар]],Итоговая!$G$1:$H$14,2,0)*Добавить18[[#This Row],[количество_единиц_товара]]</f>
        <v>58990</v>
      </c>
      <c r="E151" s="14" t="s">
        <v>68</v>
      </c>
      <c r="F151" s="14" t="s">
        <v>93</v>
      </c>
    </row>
    <row r="152" spans="1:6" x14ac:dyDescent="0.3">
      <c r="A152" s="40">
        <v>43662.137606296295</v>
      </c>
      <c r="B152" s="14" t="s">
        <v>52</v>
      </c>
      <c r="C152" s="14">
        <v>39</v>
      </c>
      <c r="D152" s="47">
        <f>VLOOKUP(Добавить18[[#This Row],[Товар]],Итоговая!$G$1:$H$14,2,0)*Добавить18[[#This Row],[количество_единиц_товара]]</f>
        <v>26520</v>
      </c>
      <c r="E152" s="14" t="s">
        <v>68</v>
      </c>
      <c r="F152" s="14" t="s">
        <v>93</v>
      </c>
    </row>
    <row r="153" spans="1:6" x14ac:dyDescent="0.3">
      <c r="A153" s="40">
        <v>43672.883332418984</v>
      </c>
      <c r="B153" s="14" t="s">
        <v>56</v>
      </c>
      <c r="C153" s="14">
        <v>37</v>
      </c>
      <c r="D153" s="47">
        <f>VLOOKUP(Добавить18[[#This Row],[Товар]],Итоговая!$G$1:$H$14,2,0)*Добавить18[[#This Row],[количество_единиц_товара]]</f>
        <v>59200</v>
      </c>
      <c r="E153" s="14" t="s">
        <v>68</v>
      </c>
      <c r="F153" s="14" t="s">
        <v>93</v>
      </c>
    </row>
    <row r="154" spans="1:6" x14ac:dyDescent="0.3">
      <c r="A154" s="40">
        <v>43676.811311585647</v>
      </c>
      <c r="B154" s="14" t="s">
        <v>50</v>
      </c>
      <c r="C154" s="14">
        <v>37</v>
      </c>
      <c r="D154" s="47">
        <f>VLOOKUP(Добавить18[[#This Row],[Товар]],Итоговая!$G$1:$H$14,2,0)*Добавить18[[#This Row],[количество_единиц_товара]]</f>
        <v>81400</v>
      </c>
      <c r="E154" s="14" t="s">
        <v>68</v>
      </c>
      <c r="F154" s="14" t="s">
        <v>93</v>
      </c>
    </row>
    <row r="155" spans="1:6" x14ac:dyDescent="0.3">
      <c r="A155" s="40">
        <v>43685.594095509259</v>
      </c>
      <c r="B155" s="14" t="s">
        <v>52</v>
      </c>
      <c r="C155" s="14">
        <v>40</v>
      </c>
      <c r="D155" s="47">
        <f>VLOOKUP(Добавить18[[#This Row],[Товар]],Итоговая!$G$1:$H$14,2,0)*Добавить18[[#This Row],[количество_единиц_товара]]</f>
        <v>27200</v>
      </c>
      <c r="E155" s="14" t="s">
        <v>67</v>
      </c>
      <c r="F155" s="14" t="s">
        <v>93</v>
      </c>
    </row>
    <row r="156" spans="1:6" x14ac:dyDescent="0.3">
      <c r="A156" s="40">
        <v>43696.280155092594</v>
      </c>
      <c r="B156" s="14" t="s">
        <v>58</v>
      </c>
      <c r="C156" s="14">
        <v>20</v>
      </c>
      <c r="D156" s="47">
        <f>VLOOKUP(Добавить18[[#This Row],[Товар]],Итоговая!$G$1:$H$14,2,0)*Добавить18[[#This Row],[количество_единиц_товара]]</f>
        <v>89100</v>
      </c>
      <c r="E156" s="14" t="s">
        <v>66</v>
      </c>
      <c r="F156" s="14" t="s">
        <v>93</v>
      </c>
    </row>
    <row r="157" spans="1:6" x14ac:dyDescent="0.3">
      <c r="A157" s="40">
        <v>43725.095347395836</v>
      </c>
      <c r="B157" s="14" t="s">
        <v>59</v>
      </c>
      <c r="C157" s="14">
        <v>17</v>
      </c>
      <c r="D157" s="47">
        <f>VLOOKUP(Добавить18[[#This Row],[Товар]],Итоговая!$G$1:$H$14,2,0)*Добавить18[[#This Row],[количество_единиц_товара]]</f>
        <v>34000</v>
      </c>
      <c r="E157" s="14" t="s">
        <v>66</v>
      </c>
      <c r="F157" s="14" t="s">
        <v>93</v>
      </c>
    </row>
    <row r="158" spans="1:6" x14ac:dyDescent="0.3">
      <c r="A158" s="40">
        <v>43725.546105949077</v>
      </c>
      <c r="B158" s="14" t="s">
        <v>50</v>
      </c>
      <c r="C158" s="14">
        <v>36</v>
      </c>
      <c r="D158" s="47">
        <f>VLOOKUP(Добавить18[[#This Row],[Товар]],Итоговая!$G$1:$H$14,2,0)*Добавить18[[#This Row],[количество_единиц_товара]]</f>
        <v>79200</v>
      </c>
      <c r="E158" s="14" t="s">
        <v>67</v>
      </c>
      <c r="F158" s="14" t="s">
        <v>93</v>
      </c>
    </row>
    <row r="159" spans="1:6" x14ac:dyDescent="0.3">
      <c r="A159" s="40">
        <v>43729.508804131947</v>
      </c>
      <c r="B159" s="14" t="s">
        <v>60</v>
      </c>
      <c r="C159" s="14">
        <v>30</v>
      </c>
      <c r="D159" s="47">
        <f>VLOOKUP(Добавить18[[#This Row],[Товар]],Итоговая!$G$1:$H$14,2,0)*Добавить18[[#This Row],[количество_единиц_товара]]</f>
        <v>173670</v>
      </c>
      <c r="E159" s="14" t="s">
        <v>66</v>
      </c>
      <c r="F159" s="14" t="s">
        <v>93</v>
      </c>
    </row>
    <row r="160" spans="1:6" x14ac:dyDescent="0.3">
      <c r="A160" s="40">
        <v>43742.813166863423</v>
      </c>
      <c r="B160" s="14" t="s">
        <v>58</v>
      </c>
      <c r="C160" s="14">
        <v>28</v>
      </c>
      <c r="D160" s="47">
        <f>VLOOKUP(Добавить18[[#This Row],[Товар]],Итоговая!$G$1:$H$14,2,0)*Добавить18[[#This Row],[количество_единиц_товара]]</f>
        <v>124740</v>
      </c>
      <c r="E160" s="14" t="s">
        <v>66</v>
      </c>
      <c r="F160" s="14" t="s">
        <v>93</v>
      </c>
    </row>
    <row r="161" spans="1:6" x14ac:dyDescent="0.3">
      <c r="A161" s="40">
        <v>43748.723311377318</v>
      </c>
      <c r="B161" s="14" t="s">
        <v>60</v>
      </c>
      <c r="C161" s="14">
        <v>33</v>
      </c>
      <c r="D161" s="47">
        <f>VLOOKUP(Добавить18[[#This Row],[Товар]],Итоговая!$G$1:$H$14,2,0)*Добавить18[[#This Row],[количество_единиц_товара]]</f>
        <v>191037</v>
      </c>
      <c r="E161" s="14" t="s">
        <v>67</v>
      </c>
      <c r="F161" s="14" t="s">
        <v>93</v>
      </c>
    </row>
    <row r="162" spans="1:6" x14ac:dyDescent="0.3">
      <c r="A162" s="40">
        <v>43752.349986608795</v>
      </c>
      <c r="B162" s="14" t="s">
        <v>56</v>
      </c>
      <c r="C162" s="14">
        <v>37</v>
      </c>
      <c r="D162" s="47">
        <f>VLOOKUP(Добавить18[[#This Row],[Товар]],Итоговая!$G$1:$H$14,2,0)*Добавить18[[#This Row],[количество_единиц_товара]]</f>
        <v>59200</v>
      </c>
      <c r="E162" s="14" t="s">
        <v>66</v>
      </c>
      <c r="F162" s="14" t="s">
        <v>93</v>
      </c>
    </row>
    <row r="163" spans="1:6" x14ac:dyDescent="0.3">
      <c r="A163" s="40">
        <v>43776.557091944444</v>
      </c>
      <c r="B163" s="14" t="s">
        <v>61</v>
      </c>
      <c r="C163" s="14">
        <v>27</v>
      </c>
      <c r="D163" s="47">
        <f>VLOOKUP(Добавить18[[#This Row],[Товар]],Итоговая!$G$1:$H$14,2,0)*Добавить18[[#This Row],[количество_единиц_товара]]</f>
        <v>93690</v>
      </c>
      <c r="E163" s="14" t="s">
        <v>66</v>
      </c>
      <c r="F163" s="14" t="s">
        <v>93</v>
      </c>
    </row>
    <row r="164" spans="1:6" x14ac:dyDescent="0.3">
      <c r="A164" s="40">
        <v>43810.120741307874</v>
      </c>
      <c r="B164" s="14" t="s">
        <v>49</v>
      </c>
      <c r="C164" s="14">
        <v>16</v>
      </c>
      <c r="D164" s="47">
        <f>VLOOKUP(Добавить18[[#This Row],[Товар]],Итоговая!$G$1:$H$14,2,0)*Добавить18[[#This Row],[количество_единиц_товара]]</f>
        <v>49600</v>
      </c>
      <c r="E164" s="14" t="s">
        <v>67</v>
      </c>
      <c r="F164" s="14" t="s">
        <v>93</v>
      </c>
    </row>
    <row r="165" spans="1:6" x14ac:dyDescent="0.3">
      <c r="A165" s="40">
        <v>43819.093587615738</v>
      </c>
      <c r="B165" s="14" t="s">
        <v>52</v>
      </c>
      <c r="C165" s="14">
        <v>25</v>
      </c>
      <c r="D165" s="47">
        <f>VLOOKUP(Добавить18[[#This Row],[Товар]],Итоговая!$G$1:$H$14,2,0)*Добавить18[[#This Row],[количество_единиц_товара]]</f>
        <v>17000</v>
      </c>
      <c r="E165" s="14" t="s">
        <v>66</v>
      </c>
      <c r="F165" s="14" t="s">
        <v>93</v>
      </c>
    </row>
    <row r="166" spans="1:6" x14ac:dyDescent="0.3">
      <c r="A166" s="40">
        <v>43822.028454560183</v>
      </c>
      <c r="B166" s="14" t="s">
        <v>56</v>
      </c>
      <c r="C166" s="14">
        <v>22</v>
      </c>
      <c r="D166" s="47">
        <f>VLOOKUP(Добавить18[[#This Row],[Товар]],Итоговая!$G$1:$H$14,2,0)*Добавить18[[#This Row],[количество_единиц_товара]]</f>
        <v>35200</v>
      </c>
      <c r="E166" s="14" t="s">
        <v>66</v>
      </c>
      <c r="F166" s="14" t="s">
        <v>93</v>
      </c>
    </row>
    <row r="167" spans="1:6" x14ac:dyDescent="0.3">
      <c r="A167" s="40">
        <v>43833.027109571762</v>
      </c>
      <c r="B167" s="14" t="s">
        <v>61</v>
      </c>
      <c r="C167" s="14">
        <v>12</v>
      </c>
      <c r="D167" s="47">
        <f>VLOOKUP(Добавить18[[#This Row],[Товар]],Итоговая!$G$1:$H$14,2,0)*Добавить18[[#This Row],[количество_единиц_товара]]</f>
        <v>41640</v>
      </c>
      <c r="E167" s="14" t="s">
        <v>67</v>
      </c>
      <c r="F167" s="14" t="s">
        <v>93</v>
      </c>
    </row>
    <row r="168" spans="1:6" x14ac:dyDescent="0.3">
      <c r="A168" s="40">
        <v>43836.258723587962</v>
      </c>
      <c r="B168" s="14" t="s">
        <v>55</v>
      </c>
      <c r="C168" s="14">
        <v>23</v>
      </c>
      <c r="D168" s="47">
        <f>VLOOKUP(Добавить18[[#This Row],[Товар]],Итоговая!$G$1:$H$14,2,0)*Добавить18[[#This Row],[количество_единиц_товара]]</f>
        <v>103500</v>
      </c>
      <c r="E168" s="14" t="s">
        <v>66</v>
      </c>
      <c r="F168" s="14" t="s">
        <v>93</v>
      </c>
    </row>
    <row r="169" spans="1:6" x14ac:dyDescent="0.3">
      <c r="A169" s="40">
        <v>43873.566314456017</v>
      </c>
      <c r="B169" s="14" t="s">
        <v>51</v>
      </c>
      <c r="C169" s="14">
        <v>22</v>
      </c>
      <c r="D169" s="47">
        <f>VLOOKUP(Добавить18[[#This Row],[Товар]],Итоговая!$G$1:$H$14,2,0)*Добавить18[[#This Row],[количество_единиц_товара]]</f>
        <v>56320</v>
      </c>
      <c r="E169" s="14" t="s">
        <v>66</v>
      </c>
      <c r="F169" s="14" t="s">
        <v>93</v>
      </c>
    </row>
    <row r="170" spans="1:6" x14ac:dyDescent="0.3">
      <c r="A170" s="40">
        <v>43882.089731863423</v>
      </c>
      <c r="B170" s="14" t="s">
        <v>52</v>
      </c>
      <c r="C170" s="14">
        <v>40</v>
      </c>
      <c r="D170" s="47">
        <f>VLOOKUP(Добавить18[[#This Row],[Товар]],Итоговая!$G$1:$H$14,2,0)*Добавить18[[#This Row],[количество_единиц_товара]]</f>
        <v>27200</v>
      </c>
      <c r="E170" s="14" t="s">
        <v>67</v>
      </c>
      <c r="F170" s="14" t="s">
        <v>93</v>
      </c>
    </row>
    <row r="171" spans="1:6" x14ac:dyDescent="0.3">
      <c r="A171" s="40">
        <v>43882.389557118055</v>
      </c>
      <c r="B171" s="14" t="s">
        <v>50</v>
      </c>
      <c r="C171" s="14">
        <v>34</v>
      </c>
      <c r="D171" s="47">
        <f>VLOOKUP(Добавить18[[#This Row],[Товар]],Итоговая!$G$1:$H$14,2,0)*Добавить18[[#This Row],[количество_единиц_товара]]</f>
        <v>74800</v>
      </c>
      <c r="E171" s="14" t="s">
        <v>67</v>
      </c>
      <c r="F171" s="14" t="s">
        <v>93</v>
      </c>
    </row>
    <row r="172" spans="1:6" x14ac:dyDescent="0.3">
      <c r="A172" s="40">
        <v>43888.576670162038</v>
      </c>
      <c r="B172" s="14" t="s">
        <v>51</v>
      </c>
      <c r="C172" s="14">
        <v>26</v>
      </c>
      <c r="D172" s="47">
        <f>VLOOKUP(Добавить18[[#This Row],[Товар]],Итоговая!$G$1:$H$14,2,0)*Добавить18[[#This Row],[количество_единиц_товара]]</f>
        <v>66560</v>
      </c>
      <c r="E172" s="14" t="s">
        <v>67</v>
      </c>
      <c r="F172" s="14" t="s">
        <v>93</v>
      </c>
    </row>
    <row r="173" spans="1:6" x14ac:dyDescent="0.3">
      <c r="A173" s="40">
        <v>43900.056221712963</v>
      </c>
      <c r="B173" s="14" t="s">
        <v>54</v>
      </c>
      <c r="C173" s="14">
        <v>24</v>
      </c>
      <c r="D173" s="47">
        <f>VLOOKUP(Добавить18[[#This Row],[Товар]],Итоговая!$G$1:$H$14,2,0)*Добавить18[[#This Row],[количество_единиц_товара]]</f>
        <v>58800</v>
      </c>
      <c r="E173" s="14" t="s">
        <v>67</v>
      </c>
      <c r="F173" s="14" t="s">
        <v>93</v>
      </c>
    </row>
    <row r="174" spans="1:6" x14ac:dyDescent="0.3">
      <c r="A174" s="40">
        <v>43901.748909965281</v>
      </c>
      <c r="B174" s="14" t="s">
        <v>51</v>
      </c>
      <c r="C174" s="14">
        <v>37</v>
      </c>
      <c r="D174" s="47">
        <f>VLOOKUP(Добавить18[[#This Row],[Товар]],Итоговая!$G$1:$H$14,2,0)*Добавить18[[#This Row],[количество_единиц_товара]]</f>
        <v>94720</v>
      </c>
      <c r="E174" s="14" t="s">
        <v>67</v>
      </c>
      <c r="F174" s="14" t="s">
        <v>93</v>
      </c>
    </row>
    <row r="175" spans="1:6" x14ac:dyDescent="0.3">
      <c r="A175" s="40">
        <v>43914.041911342596</v>
      </c>
      <c r="B175" s="14" t="s">
        <v>59</v>
      </c>
      <c r="C175" s="14">
        <v>17</v>
      </c>
      <c r="D175" s="47">
        <f>VLOOKUP(Добавить18[[#This Row],[Товар]],Итоговая!$G$1:$H$14,2,0)*Добавить18[[#This Row],[количество_единиц_товара]]</f>
        <v>34000</v>
      </c>
      <c r="E175" s="14" t="s">
        <v>68</v>
      </c>
      <c r="F175" s="14" t="s">
        <v>93</v>
      </c>
    </row>
    <row r="176" spans="1:6" x14ac:dyDescent="0.3">
      <c r="A176" s="40">
        <v>43929.243473020833</v>
      </c>
      <c r="B176" s="14" t="s">
        <v>59</v>
      </c>
      <c r="C176" s="14">
        <v>31</v>
      </c>
      <c r="D176" s="47">
        <f>VLOOKUP(Добавить18[[#This Row],[Товар]],Итоговая!$G$1:$H$14,2,0)*Добавить18[[#This Row],[количество_единиц_товара]]</f>
        <v>62000</v>
      </c>
      <c r="E176" s="14" t="s">
        <v>68</v>
      </c>
      <c r="F176" s="14" t="s">
        <v>93</v>
      </c>
    </row>
    <row r="177" spans="1:6" x14ac:dyDescent="0.3">
      <c r="A177" s="40">
        <v>43945.640704606485</v>
      </c>
      <c r="B177" s="14" t="s">
        <v>52</v>
      </c>
      <c r="C177" s="14">
        <v>16</v>
      </c>
      <c r="D177" s="47">
        <f>VLOOKUP(Добавить18[[#This Row],[Товар]],Итоговая!$G$1:$H$14,2,0)*Добавить18[[#This Row],[количество_единиц_товара]]</f>
        <v>10880</v>
      </c>
      <c r="E177" s="14" t="s">
        <v>68</v>
      </c>
      <c r="F177" s="14" t="s">
        <v>93</v>
      </c>
    </row>
    <row r="178" spans="1:6" x14ac:dyDescent="0.3">
      <c r="A178" s="40">
        <v>43974.340813437499</v>
      </c>
      <c r="B178" s="14" t="s">
        <v>60</v>
      </c>
      <c r="C178" s="14">
        <v>17</v>
      </c>
      <c r="D178" s="47">
        <f>VLOOKUP(Добавить18[[#This Row],[Товар]],Итоговая!$G$1:$H$14,2,0)*Добавить18[[#This Row],[количество_единиц_товара]]</f>
        <v>98413</v>
      </c>
      <c r="E178" s="14" t="s">
        <v>67</v>
      </c>
      <c r="F178" s="14" t="s">
        <v>93</v>
      </c>
    </row>
    <row r="179" spans="1:6" x14ac:dyDescent="0.3">
      <c r="A179" s="40">
        <v>43981.544800601849</v>
      </c>
      <c r="B179" s="14" t="s">
        <v>57</v>
      </c>
      <c r="C179" s="14">
        <v>30</v>
      </c>
      <c r="D179" s="47">
        <f>VLOOKUP(Добавить18[[#This Row],[Товар]],Итоговая!$G$1:$H$14,2,0)*Добавить18[[#This Row],[количество_единиц_товара]]</f>
        <v>113880</v>
      </c>
      <c r="E179" s="14" t="s">
        <v>68</v>
      </c>
      <c r="F179" s="14" t="s">
        <v>93</v>
      </c>
    </row>
    <row r="180" spans="1:6" x14ac:dyDescent="0.3">
      <c r="A180" s="40">
        <v>43985.215519201389</v>
      </c>
      <c r="B180" s="14" t="s">
        <v>50</v>
      </c>
      <c r="C180" s="14">
        <v>29</v>
      </c>
      <c r="D180" s="47">
        <f>VLOOKUP(Добавить18[[#This Row],[Товар]],Итоговая!$G$1:$H$14,2,0)*Добавить18[[#This Row],[количество_единиц_товара]]</f>
        <v>63800</v>
      </c>
      <c r="E180" s="14" t="s">
        <v>68</v>
      </c>
      <c r="F180" s="14" t="s">
        <v>93</v>
      </c>
    </row>
    <row r="181" spans="1:6" x14ac:dyDescent="0.3">
      <c r="A181" s="40">
        <v>43999.657373333335</v>
      </c>
      <c r="B181" s="14" t="s">
        <v>59</v>
      </c>
      <c r="C181" s="14">
        <v>25</v>
      </c>
      <c r="D181" s="47">
        <f>VLOOKUP(Добавить18[[#This Row],[Товар]],Итоговая!$G$1:$H$14,2,0)*Добавить18[[#This Row],[количество_единиц_товара]]</f>
        <v>50000</v>
      </c>
      <c r="E181" s="14" t="s">
        <v>68</v>
      </c>
      <c r="F181" s="14" t="s">
        <v>93</v>
      </c>
    </row>
    <row r="182" spans="1:6" x14ac:dyDescent="0.3">
      <c r="A182" s="40">
        <v>44033.602566608795</v>
      </c>
      <c r="B182" s="14" t="s">
        <v>52</v>
      </c>
      <c r="C182" s="14">
        <v>34</v>
      </c>
      <c r="D182" s="47">
        <f>VLOOKUP(Добавить18[[#This Row],[Товар]],Итоговая!$G$1:$H$14,2,0)*Добавить18[[#This Row],[количество_единиц_товара]]</f>
        <v>23120</v>
      </c>
      <c r="E182" s="14" t="s">
        <v>67</v>
      </c>
      <c r="F182" s="14" t="s">
        <v>93</v>
      </c>
    </row>
    <row r="183" spans="1:6" x14ac:dyDescent="0.3">
      <c r="A183" s="40">
        <v>44036.480264837963</v>
      </c>
      <c r="B183" s="14" t="s">
        <v>58</v>
      </c>
      <c r="C183" s="14">
        <v>23</v>
      </c>
      <c r="D183" s="47">
        <f>VLOOKUP(Добавить18[[#This Row],[Товар]],Итоговая!$G$1:$H$14,2,0)*Добавить18[[#This Row],[количество_единиц_товара]]</f>
        <v>102465</v>
      </c>
      <c r="E183" s="14" t="s">
        <v>68</v>
      </c>
      <c r="F183" s="14" t="s">
        <v>93</v>
      </c>
    </row>
    <row r="184" spans="1:6" x14ac:dyDescent="0.3">
      <c r="A184" s="40">
        <v>44050.401353356479</v>
      </c>
      <c r="B184" s="14" t="s">
        <v>54</v>
      </c>
      <c r="C184" s="14">
        <v>33</v>
      </c>
      <c r="D184" s="47">
        <f>VLOOKUP(Добавить18[[#This Row],[Товар]],Итоговая!$G$1:$H$14,2,0)*Добавить18[[#This Row],[количество_единиц_товара]]</f>
        <v>80850</v>
      </c>
      <c r="E184" s="14" t="s">
        <v>68</v>
      </c>
      <c r="F184" s="14" t="s">
        <v>93</v>
      </c>
    </row>
    <row r="185" spans="1:6" x14ac:dyDescent="0.3">
      <c r="A185" s="40">
        <v>44055.950879618053</v>
      </c>
      <c r="B185" s="14" t="s">
        <v>58</v>
      </c>
      <c r="C185" s="14">
        <v>26</v>
      </c>
      <c r="D185" s="47">
        <f>VLOOKUP(Добавить18[[#This Row],[Товар]],Итоговая!$G$1:$H$14,2,0)*Добавить18[[#This Row],[количество_единиц_товара]]</f>
        <v>115830</v>
      </c>
      <c r="E185" s="14" t="s">
        <v>68</v>
      </c>
      <c r="F185" s="14" t="s">
        <v>93</v>
      </c>
    </row>
    <row r="186" spans="1:6" x14ac:dyDescent="0.3">
      <c r="A186" s="40">
        <v>44085.676486307872</v>
      </c>
      <c r="B186" s="14" t="s">
        <v>60</v>
      </c>
      <c r="C186" s="14">
        <v>20</v>
      </c>
      <c r="D186" s="47">
        <f>VLOOKUP(Добавить18[[#This Row],[Товар]],Итоговая!$G$1:$H$14,2,0)*Добавить18[[#This Row],[количество_единиц_товара]]</f>
        <v>115780</v>
      </c>
      <c r="E186" s="14" t="s">
        <v>67</v>
      </c>
      <c r="F186" s="14" t="s">
        <v>93</v>
      </c>
    </row>
    <row r="187" spans="1:6" x14ac:dyDescent="0.3">
      <c r="A187" s="40">
        <v>44089.532320347222</v>
      </c>
      <c r="B187" s="14" t="s">
        <v>54</v>
      </c>
      <c r="C187" s="14">
        <v>35</v>
      </c>
      <c r="D187" s="47">
        <f>VLOOKUP(Добавить18[[#This Row],[Товар]],Итоговая!$G$1:$H$14,2,0)*Добавить18[[#This Row],[количество_единиц_товара]]</f>
        <v>85750</v>
      </c>
      <c r="E187" s="14" t="s">
        <v>68</v>
      </c>
      <c r="F187" s="14" t="s">
        <v>93</v>
      </c>
    </row>
    <row r="188" spans="1:6" x14ac:dyDescent="0.3">
      <c r="A188" s="40">
        <v>44097.123237800923</v>
      </c>
      <c r="B188" s="14" t="s">
        <v>61</v>
      </c>
      <c r="C188" s="14">
        <v>31</v>
      </c>
      <c r="D188" s="47">
        <f>VLOOKUP(Добавить18[[#This Row],[Товар]],Итоговая!$G$1:$H$14,2,0)*Добавить18[[#This Row],[количество_единиц_товара]]</f>
        <v>107570</v>
      </c>
      <c r="E188" s="14" t="s">
        <v>68</v>
      </c>
      <c r="F188" s="14" t="s">
        <v>93</v>
      </c>
    </row>
    <row r="189" spans="1:6" x14ac:dyDescent="0.3">
      <c r="A189" s="40">
        <v>44118.404279467592</v>
      </c>
      <c r="B189" s="14" t="s">
        <v>54</v>
      </c>
      <c r="C189" s="14">
        <v>27</v>
      </c>
      <c r="D189" s="47">
        <f>VLOOKUP(Добавить18[[#This Row],[Товар]],Итоговая!$G$1:$H$14,2,0)*Добавить18[[#This Row],[количество_единиц_товара]]</f>
        <v>66150</v>
      </c>
      <c r="E189" s="14" t="s">
        <v>68</v>
      </c>
      <c r="F189" s="14" t="s">
        <v>93</v>
      </c>
    </row>
    <row r="190" spans="1:6" x14ac:dyDescent="0.3">
      <c r="A190" s="40">
        <v>44133.290418807868</v>
      </c>
      <c r="B190" s="14" t="s">
        <v>61</v>
      </c>
      <c r="C190" s="14">
        <v>34</v>
      </c>
      <c r="D190" s="47">
        <f>VLOOKUP(Добавить18[[#This Row],[Товар]],Итоговая!$G$1:$H$14,2,0)*Добавить18[[#This Row],[количество_единиц_товара]]</f>
        <v>117980</v>
      </c>
      <c r="E190" s="14" t="s">
        <v>67</v>
      </c>
      <c r="F190" s="14" t="s">
        <v>93</v>
      </c>
    </row>
    <row r="191" spans="1:6" x14ac:dyDescent="0.3">
      <c r="A191" s="40">
        <v>44138.638334918978</v>
      </c>
      <c r="B191" s="14" t="s">
        <v>60</v>
      </c>
      <c r="C191" s="14">
        <v>36</v>
      </c>
      <c r="D191" s="47">
        <f>VLOOKUP(Добавить18[[#This Row],[Товар]],Итоговая!$G$1:$H$14,2,0)*Добавить18[[#This Row],[количество_единиц_товара]]</f>
        <v>208404</v>
      </c>
      <c r="E191" s="14" t="s">
        <v>68</v>
      </c>
      <c r="F191" s="14" t="s">
        <v>93</v>
      </c>
    </row>
    <row r="192" spans="1:6" x14ac:dyDescent="0.3">
      <c r="A192" s="40">
        <v>44146.992132314816</v>
      </c>
      <c r="B192" s="14" t="s">
        <v>54</v>
      </c>
      <c r="C192" s="14">
        <v>26</v>
      </c>
      <c r="D192" s="47">
        <f>VLOOKUP(Добавить18[[#This Row],[Товар]],Итоговая!$G$1:$H$14,2,0)*Добавить18[[#This Row],[количество_единиц_товара]]</f>
        <v>63700</v>
      </c>
      <c r="E192" s="14" t="s">
        <v>68</v>
      </c>
      <c r="F192" s="14" t="s">
        <v>93</v>
      </c>
    </row>
    <row r="193" spans="1:6" x14ac:dyDescent="0.3">
      <c r="A193" s="40">
        <v>44152.485937442128</v>
      </c>
      <c r="B193" s="14" t="s">
        <v>56</v>
      </c>
      <c r="C193" s="14">
        <v>32</v>
      </c>
      <c r="D193" s="47">
        <f>VLOOKUP(Добавить18[[#This Row],[Товар]],Итоговая!$G$1:$H$14,2,0)*Добавить18[[#This Row],[количество_единиц_товара]]</f>
        <v>51200</v>
      </c>
      <c r="E193" s="14" t="s">
        <v>68</v>
      </c>
      <c r="F193" s="14" t="s">
        <v>93</v>
      </c>
    </row>
    <row r="194" spans="1:6" x14ac:dyDescent="0.3">
      <c r="A194" s="40">
        <v>44162.944907881945</v>
      </c>
      <c r="B194" s="14" t="s">
        <v>53</v>
      </c>
      <c r="C194" s="14">
        <v>36</v>
      </c>
      <c r="D194" s="47">
        <f>VLOOKUP(Добавить18[[#This Row],[Товар]],Итоговая!$G$1:$H$14,2,0)*Добавить18[[#This Row],[количество_единиц_товара]]</f>
        <v>64368</v>
      </c>
      <c r="E194" s="14" t="s">
        <v>67</v>
      </c>
      <c r="F194" s="14" t="s">
        <v>93</v>
      </c>
    </row>
    <row r="195" spans="1:6" x14ac:dyDescent="0.3">
      <c r="A195" s="40">
        <v>44173.750040798608</v>
      </c>
      <c r="B195" s="14" t="s">
        <v>49</v>
      </c>
      <c r="C195" s="14">
        <v>19</v>
      </c>
      <c r="D195" s="47">
        <f>VLOOKUP(Добавить18[[#This Row],[Товар]],Итоговая!$G$1:$H$14,2,0)*Добавить18[[#This Row],[количество_единиц_товара]]</f>
        <v>58900</v>
      </c>
      <c r="E195" s="14" t="s">
        <v>68</v>
      </c>
      <c r="F195" s="14" t="s">
        <v>93</v>
      </c>
    </row>
    <row r="196" spans="1:6" x14ac:dyDescent="0.3">
      <c r="A196" s="40">
        <v>44212.617078009258</v>
      </c>
      <c r="B196" s="14" t="s">
        <v>50</v>
      </c>
      <c r="C196" s="14">
        <v>24</v>
      </c>
      <c r="D196" s="47">
        <f>VLOOKUP(Добавить18[[#This Row],[Товар]],Итоговая!$G$1:$H$14,2,0)*Добавить18[[#This Row],[количество_единиц_товара]]</f>
        <v>52800</v>
      </c>
      <c r="E196" s="14" t="s">
        <v>68</v>
      </c>
      <c r="F196" s="14" t="s">
        <v>93</v>
      </c>
    </row>
    <row r="197" spans="1:6" x14ac:dyDescent="0.3">
      <c r="A197" s="40">
        <v>44222.392377152777</v>
      </c>
      <c r="B197" s="14" t="s">
        <v>56</v>
      </c>
      <c r="C197" s="14">
        <v>12</v>
      </c>
      <c r="D197" s="47">
        <f>VLOOKUP(Добавить18[[#This Row],[Товар]],Итоговая!$G$1:$H$14,2,0)*Добавить18[[#This Row],[количество_единиц_товара]]</f>
        <v>19200</v>
      </c>
      <c r="E197" s="14" t="s">
        <v>68</v>
      </c>
      <c r="F197" s="14" t="s">
        <v>93</v>
      </c>
    </row>
    <row r="198" spans="1:6" x14ac:dyDescent="0.3">
      <c r="A198" s="40">
        <v>44223.84334472222</v>
      </c>
      <c r="B198" s="14" t="s">
        <v>49</v>
      </c>
      <c r="C198" s="14">
        <v>14</v>
      </c>
      <c r="D198" s="47">
        <f>VLOOKUP(Добавить18[[#This Row],[Товар]],Итоговая!$G$1:$H$14,2,0)*Добавить18[[#This Row],[количество_единиц_товара]]</f>
        <v>43400</v>
      </c>
      <c r="E198" s="14" t="s">
        <v>67</v>
      </c>
      <c r="F198" s="14" t="s">
        <v>93</v>
      </c>
    </row>
    <row r="199" spans="1:6" x14ac:dyDescent="0.3">
      <c r="A199" s="40">
        <v>44259.768482604166</v>
      </c>
      <c r="B199" s="14" t="s">
        <v>52</v>
      </c>
      <c r="C199" s="14">
        <v>36</v>
      </c>
      <c r="D199" s="47">
        <f>VLOOKUP(Добавить18[[#This Row],[Товар]],Итоговая!$G$1:$H$14,2,0)*Добавить18[[#This Row],[количество_единиц_товара]]</f>
        <v>24480</v>
      </c>
      <c r="E199" s="14" t="s">
        <v>67</v>
      </c>
      <c r="F199" s="14" t="s">
        <v>93</v>
      </c>
    </row>
    <row r="200" spans="1:6" x14ac:dyDescent="0.3">
      <c r="A200" s="40">
        <v>44268.617133182874</v>
      </c>
      <c r="B200" s="14" t="s">
        <v>61</v>
      </c>
      <c r="C200" s="14">
        <v>29</v>
      </c>
      <c r="D200" s="47">
        <f>VLOOKUP(Добавить18[[#This Row],[Товар]],Итоговая!$G$1:$H$14,2,0)*Добавить18[[#This Row],[количество_единиц_товара]]</f>
        <v>100630</v>
      </c>
      <c r="E200" s="14" t="s">
        <v>66</v>
      </c>
      <c r="F200" s="14" t="s">
        <v>93</v>
      </c>
    </row>
    <row r="201" spans="1:6" x14ac:dyDescent="0.3">
      <c r="A201" s="40">
        <v>44278.153513483798</v>
      </c>
      <c r="B201" s="14" t="s">
        <v>51</v>
      </c>
      <c r="C201" s="14">
        <v>20</v>
      </c>
      <c r="D201" s="47">
        <f>VLOOKUP(Добавить18[[#This Row],[Товар]],Итоговая!$G$1:$H$14,2,0)*Добавить18[[#This Row],[количество_единиц_товара]]</f>
        <v>51200</v>
      </c>
      <c r="E201" s="14" t="s">
        <v>66</v>
      </c>
      <c r="F201" s="14" t="s">
        <v>93</v>
      </c>
    </row>
    <row r="202" spans="1:6" x14ac:dyDescent="0.3">
      <c r="A202" s="40">
        <v>44283.249313622684</v>
      </c>
      <c r="B202" s="14" t="s">
        <v>55</v>
      </c>
      <c r="C202" s="14">
        <v>14</v>
      </c>
      <c r="D202" s="47">
        <f>VLOOKUP(Добавить18[[#This Row],[Товар]],Итоговая!$G$1:$H$14,2,0)*Добавить18[[#This Row],[количество_единиц_товара]]</f>
        <v>63000</v>
      </c>
      <c r="E202" s="14" t="s">
        <v>67</v>
      </c>
      <c r="F202" s="14" t="s">
        <v>93</v>
      </c>
    </row>
    <row r="203" spans="1:6" x14ac:dyDescent="0.3">
      <c r="A203" s="40">
        <v>44288.463606203703</v>
      </c>
      <c r="B203" s="14" t="s">
        <v>56</v>
      </c>
      <c r="C203" s="14">
        <v>24</v>
      </c>
      <c r="D203" s="47">
        <f>VLOOKUP(Добавить18[[#This Row],[Товар]],Итоговая!$G$1:$H$14,2,0)*Добавить18[[#This Row],[количество_единиц_товара]]</f>
        <v>38400</v>
      </c>
      <c r="E203" s="14" t="s">
        <v>67</v>
      </c>
      <c r="F203" s="14" t="s">
        <v>93</v>
      </c>
    </row>
    <row r="204" spans="1:6" x14ac:dyDescent="0.3">
      <c r="A204" s="40">
        <v>44297.839081435188</v>
      </c>
      <c r="B204" s="14" t="s">
        <v>50</v>
      </c>
      <c r="C204" s="14">
        <v>23</v>
      </c>
      <c r="D204" s="47">
        <f>VLOOKUP(Добавить18[[#This Row],[Товар]],Итоговая!$G$1:$H$14,2,0)*Добавить18[[#This Row],[количество_единиц_товара]]</f>
        <v>50600</v>
      </c>
      <c r="E204" s="14" t="s">
        <v>66</v>
      </c>
      <c r="F204" s="14" t="s">
        <v>93</v>
      </c>
    </row>
    <row r="205" spans="1:6" x14ac:dyDescent="0.3">
      <c r="A205" s="40">
        <v>44300.906207812499</v>
      </c>
      <c r="B205" s="14" t="s">
        <v>50</v>
      </c>
      <c r="C205" s="14">
        <v>20</v>
      </c>
      <c r="D205" s="47">
        <f>VLOOKUP(Добавить18[[#This Row],[Товар]],Итоговая!$G$1:$H$14,2,0)*Добавить18[[#This Row],[количество_единиц_товара]]</f>
        <v>44000</v>
      </c>
      <c r="E205" s="14" t="s">
        <v>66</v>
      </c>
      <c r="F205" s="14" t="s">
        <v>93</v>
      </c>
    </row>
    <row r="206" spans="1:6" x14ac:dyDescent="0.3">
      <c r="A206" s="40">
        <v>44313.152550729166</v>
      </c>
      <c r="B206" s="14" t="s">
        <v>59</v>
      </c>
      <c r="C206" s="14">
        <v>21</v>
      </c>
      <c r="D206" s="47">
        <f>VLOOKUP(Добавить18[[#This Row],[Товар]],Итоговая!$G$1:$H$14,2,0)*Добавить18[[#This Row],[количество_единиц_товара]]</f>
        <v>42000</v>
      </c>
      <c r="E206" s="14" t="s">
        <v>67</v>
      </c>
      <c r="F206" s="14" t="s">
        <v>93</v>
      </c>
    </row>
    <row r="207" spans="1:6" x14ac:dyDescent="0.3">
      <c r="A207" s="40">
        <v>44320.848779016203</v>
      </c>
      <c r="B207" s="14" t="s">
        <v>55</v>
      </c>
      <c r="C207" s="14">
        <v>20</v>
      </c>
      <c r="D207" s="47">
        <f>VLOOKUP(Добавить18[[#This Row],[Товар]],Итоговая!$G$1:$H$14,2,0)*Добавить18[[#This Row],[количество_единиц_товара]]</f>
        <v>90000</v>
      </c>
      <c r="E207" s="14" t="s">
        <v>66</v>
      </c>
      <c r="F207" s="14" t="s">
        <v>93</v>
      </c>
    </row>
    <row r="208" spans="1:6" x14ac:dyDescent="0.3">
      <c r="A208" s="40">
        <v>44321.395808761576</v>
      </c>
      <c r="B208" s="14" t="s">
        <v>53</v>
      </c>
      <c r="C208" s="14">
        <v>15</v>
      </c>
      <c r="D208" s="47">
        <f>VLOOKUP(Добавить18[[#This Row],[Товар]],Итоговая!$G$1:$H$14,2,0)*Добавить18[[#This Row],[количество_единиц_товара]]</f>
        <v>26820</v>
      </c>
      <c r="E208" s="14" t="s">
        <v>67</v>
      </c>
      <c r="F208" s="14" t="s">
        <v>93</v>
      </c>
    </row>
    <row r="209" spans="1:6" x14ac:dyDescent="0.3">
      <c r="A209" s="40">
        <v>44326.983848900461</v>
      </c>
      <c r="B209" s="14" t="s">
        <v>53</v>
      </c>
      <c r="C209" s="14">
        <v>29</v>
      </c>
      <c r="D209" s="47">
        <f>VLOOKUP(Добавить18[[#This Row],[Товар]],Итоговая!$G$1:$H$14,2,0)*Добавить18[[#This Row],[количество_единиц_товара]]</f>
        <v>51852</v>
      </c>
      <c r="E209" s="14" t="s">
        <v>66</v>
      </c>
      <c r="F209" s="14" t="s">
        <v>93</v>
      </c>
    </row>
    <row r="210" spans="1:6" x14ac:dyDescent="0.3">
      <c r="A210" s="40">
        <v>44331.660981504632</v>
      </c>
      <c r="B210" s="14" t="s">
        <v>59</v>
      </c>
      <c r="C210" s="14">
        <v>20</v>
      </c>
      <c r="D210" s="47">
        <f>VLOOKUP(Добавить18[[#This Row],[Товар]],Итоговая!$G$1:$H$14,2,0)*Добавить18[[#This Row],[количество_единиц_товара]]</f>
        <v>40000</v>
      </c>
      <c r="E210" s="14" t="s">
        <v>67</v>
      </c>
      <c r="F210" s="14" t="s">
        <v>93</v>
      </c>
    </row>
    <row r="211" spans="1:6" x14ac:dyDescent="0.3">
      <c r="A211" s="40">
        <v>44338.668076689813</v>
      </c>
      <c r="B211" s="14" t="s">
        <v>55</v>
      </c>
      <c r="C211" s="14">
        <v>12</v>
      </c>
      <c r="D211" s="47">
        <f>VLOOKUP(Добавить18[[#This Row],[Товар]],Итоговая!$G$1:$H$14,2,0)*Добавить18[[#This Row],[количество_единиц_товара]]</f>
        <v>54000</v>
      </c>
      <c r="E211" s="14" t="s">
        <v>66</v>
      </c>
      <c r="F211" s="14" t="s">
        <v>93</v>
      </c>
    </row>
    <row r="212" spans="1:6" x14ac:dyDescent="0.3">
      <c r="A212" s="40">
        <v>44348.226880011571</v>
      </c>
      <c r="B212" s="14" t="s">
        <v>55</v>
      </c>
      <c r="C212" s="14">
        <v>12</v>
      </c>
      <c r="D212" s="47">
        <f>VLOOKUP(Добавить18[[#This Row],[Товар]],Итоговая!$G$1:$H$14,2,0)*Добавить18[[#This Row],[количество_единиц_товара]]</f>
        <v>54000</v>
      </c>
      <c r="E212" s="14" t="s">
        <v>67</v>
      </c>
      <c r="F212" s="14" t="s">
        <v>93</v>
      </c>
    </row>
    <row r="213" spans="1:6" x14ac:dyDescent="0.3">
      <c r="A213" s="40">
        <v>44349.504987824075</v>
      </c>
      <c r="B213" s="14" t="s">
        <v>56</v>
      </c>
      <c r="C213" s="14">
        <v>37</v>
      </c>
      <c r="D213" s="47">
        <f>VLOOKUP(Добавить18[[#This Row],[Товар]],Итоговая!$G$1:$H$14,2,0)*Добавить18[[#This Row],[количество_единиц_товара]]</f>
        <v>59200</v>
      </c>
      <c r="E213" s="14" t="s">
        <v>67</v>
      </c>
      <c r="F213" s="14" t="s">
        <v>93</v>
      </c>
    </row>
    <row r="214" spans="1:6" x14ac:dyDescent="0.3">
      <c r="A214" s="40">
        <v>44394.219848333334</v>
      </c>
      <c r="B214" s="14" t="s">
        <v>58</v>
      </c>
      <c r="C214" s="14">
        <v>22</v>
      </c>
      <c r="D214" s="47">
        <f>VLOOKUP(Добавить18[[#This Row],[Товар]],Итоговая!$G$1:$H$14,2,0)*Добавить18[[#This Row],[количество_единиц_товара]]</f>
        <v>98010</v>
      </c>
      <c r="E214" s="14" t="s">
        <v>68</v>
      </c>
      <c r="F214" s="14" t="s">
        <v>93</v>
      </c>
    </row>
    <row r="215" spans="1:6" x14ac:dyDescent="0.3">
      <c r="A215" s="40">
        <v>44405.898193090281</v>
      </c>
      <c r="B215" s="14" t="s">
        <v>52</v>
      </c>
      <c r="C215" s="14">
        <v>20</v>
      </c>
      <c r="D215" s="47">
        <f>VLOOKUP(Добавить18[[#This Row],[Товар]],Итоговая!$G$1:$H$14,2,0)*Добавить18[[#This Row],[количество_единиц_товара]]</f>
        <v>13600</v>
      </c>
      <c r="E215" s="14" t="s">
        <v>68</v>
      </c>
      <c r="F215" s="14" t="s">
        <v>93</v>
      </c>
    </row>
    <row r="216" spans="1:6" x14ac:dyDescent="0.3">
      <c r="A216" s="40">
        <v>44407.553585416666</v>
      </c>
      <c r="B216" s="14" t="s">
        <v>54</v>
      </c>
      <c r="C216" s="14">
        <v>15</v>
      </c>
      <c r="D216" s="47">
        <f>VLOOKUP(Добавить18[[#This Row],[Товар]],Итоговая!$G$1:$H$14,2,0)*Добавить18[[#This Row],[количество_единиц_товара]]</f>
        <v>36750</v>
      </c>
      <c r="E216" s="14" t="s">
        <v>67</v>
      </c>
      <c r="F216" s="14" t="s">
        <v>93</v>
      </c>
    </row>
    <row r="217" spans="1:6" x14ac:dyDescent="0.3">
      <c r="A217" s="40">
        <v>44414.213706817129</v>
      </c>
      <c r="B217" s="14" t="s">
        <v>49</v>
      </c>
      <c r="C217" s="14">
        <v>20</v>
      </c>
      <c r="D217" s="47">
        <f>VLOOKUP(Добавить18[[#This Row],[Товар]],Итоговая!$G$1:$H$14,2,0)*Добавить18[[#This Row],[количество_единиц_товара]]</f>
        <v>62000</v>
      </c>
      <c r="E217" s="14" t="s">
        <v>68</v>
      </c>
      <c r="F217" s="14" t="s">
        <v>93</v>
      </c>
    </row>
    <row r="218" spans="1:6" x14ac:dyDescent="0.3">
      <c r="A218" s="40">
        <v>44414.868755451389</v>
      </c>
      <c r="B218" s="14" t="s">
        <v>52</v>
      </c>
      <c r="C218" s="14">
        <v>35</v>
      </c>
      <c r="D218" s="47">
        <f>VLOOKUP(Добавить18[[#This Row],[Товар]],Итоговая!$G$1:$H$14,2,0)*Добавить18[[#This Row],[количество_единиц_товара]]</f>
        <v>23800</v>
      </c>
      <c r="E218" s="14" t="s">
        <v>68</v>
      </c>
      <c r="F218" s="14" t="s">
        <v>93</v>
      </c>
    </row>
    <row r="219" spans="1:6" x14ac:dyDescent="0.3">
      <c r="A219" s="40">
        <v>44416.106817569445</v>
      </c>
      <c r="B219" s="14" t="s">
        <v>59</v>
      </c>
      <c r="C219" s="14">
        <v>22</v>
      </c>
      <c r="D219" s="47">
        <f>VLOOKUP(Добавить18[[#This Row],[Товар]],Итоговая!$G$1:$H$14,2,0)*Добавить18[[#This Row],[количество_единиц_товара]]</f>
        <v>44000</v>
      </c>
      <c r="E219" s="14" t="s">
        <v>67</v>
      </c>
      <c r="F219" s="14" t="s">
        <v>93</v>
      </c>
    </row>
    <row r="220" spans="1:6" x14ac:dyDescent="0.3">
      <c r="A220" s="40">
        <v>44423.503676817127</v>
      </c>
      <c r="B220" s="14" t="s">
        <v>58</v>
      </c>
      <c r="C220" s="14">
        <v>18</v>
      </c>
      <c r="D220" s="47">
        <f>VLOOKUP(Добавить18[[#This Row],[Товар]],Итоговая!$G$1:$H$14,2,0)*Добавить18[[#This Row],[количество_единиц_товара]]</f>
        <v>80190</v>
      </c>
      <c r="E220" s="14" t="s">
        <v>68</v>
      </c>
      <c r="F220" s="14" t="s">
        <v>93</v>
      </c>
    </row>
    <row r="221" spans="1:6" x14ac:dyDescent="0.3">
      <c r="A221" s="40">
        <v>44432.933318229167</v>
      </c>
      <c r="B221" s="14" t="s">
        <v>52</v>
      </c>
      <c r="C221" s="14">
        <v>17</v>
      </c>
      <c r="D221" s="47">
        <f>VLOOKUP(Добавить18[[#This Row],[Товар]],Итоговая!$G$1:$H$14,2,0)*Добавить18[[#This Row],[количество_единиц_товара]]</f>
        <v>11560</v>
      </c>
      <c r="E221" s="14" t="s">
        <v>68</v>
      </c>
      <c r="F221" s="14" t="s">
        <v>93</v>
      </c>
    </row>
    <row r="222" spans="1:6" x14ac:dyDescent="0.3">
      <c r="A222" s="40">
        <v>44440.242571481482</v>
      </c>
      <c r="B222" s="14" t="s">
        <v>61</v>
      </c>
      <c r="C222" s="14">
        <v>32</v>
      </c>
      <c r="D222" s="47">
        <f>VLOOKUP(Добавить18[[#This Row],[Товар]],Итоговая!$G$1:$H$14,2,0)*Добавить18[[#This Row],[количество_единиц_товара]]</f>
        <v>111040</v>
      </c>
      <c r="E222" s="14" t="s">
        <v>67</v>
      </c>
      <c r="F222" s="14" t="s">
        <v>93</v>
      </c>
    </row>
    <row r="223" spans="1:6" x14ac:dyDescent="0.3">
      <c r="A223" s="40">
        <v>44447.136961064818</v>
      </c>
      <c r="B223" s="14" t="s">
        <v>59</v>
      </c>
      <c r="C223" s="14">
        <v>26</v>
      </c>
      <c r="D223" s="47">
        <f>VLOOKUP(Добавить18[[#This Row],[Товар]],Итоговая!$G$1:$H$14,2,0)*Добавить18[[#This Row],[количество_единиц_товара]]</f>
        <v>52000</v>
      </c>
      <c r="E223" s="14" t="s">
        <v>68</v>
      </c>
      <c r="F223" s="14" t="s">
        <v>93</v>
      </c>
    </row>
    <row r="224" spans="1:6" x14ac:dyDescent="0.3">
      <c r="A224" s="40">
        <v>44449.896882824076</v>
      </c>
      <c r="B224" s="14" t="s">
        <v>61</v>
      </c>
      <c r="C224" s="14">
        <v>30</v>
      </c>
      <c r="D224" s="47">
        <f>VLOOKUP(Добавить18[[#This Row],[Товар]],Итоговая!$G$1:$H$14,2,0)*Добавить18[[#This Row],[количество_единиц_товара]]</f>
        <v>104100</v>
      </c>
      <c r="E224" s="14" t="s">
        <v>68</v>
      </c>
      <c r="F224" s="14" t="s">
        <v>93</v>
      </c>
    </row>
    <row r="225" spans="1:6" x14ac:dyDescent="0.3">
      <c r="A225" s="44">
        <v>42385.033478449077</v>
      </c>
      <c r="B225" s="45" t="s">
        <v>56</v>
      </c>
      <c r="C225" s="45">
        <v>35</v>
      </c>
      <c r="D225" s="47">
        <f>VLOOKUP(Добавить18[[#This Row],[Товар]],Итоговая!$G$1:$H$14,2,0)*Добавить18[[#This Row],[количество_единиц_товара]]</f>
        <v>56000</v>
      </c>
      <c r="E225" s="45" t="s">
        <v>69</v>
      </c>
      <c r="F225" s="45" t="s">
        <v>94</v>
      </c>
    </row>
    <row r="226" spans="1:6" x14ac:dyDescent="0.3">
      <c r="A226" s="44">
        <v>42395.552373645834</v>
      </c>
      <c r="B226" s="45" t="s">
        <v>51</v>
      </c>
      <c r="C226" s="45">
        <v>10</v>
      </c>
      <c r="D226" s="47">
        <f>VLOOKUP(Добавить18[[#This Row],[Товар]],Итоговая!$G$1:$H$14,2,0)*Добавить18[[#This Row],[количество_единиц_товара]]</f>
        <v>25600</v>
      </c>
      <c r="E226" s="45" t="s">
        <v>70</v>
      </c>
      <c r="F226" s="45" t="s">
        <v>94</v>
      </c>
    </row>
    <row r="227" spans="1:6" x14ac:dyDescent="0.3">
      <c r="A227" s="44">
        <v>42398.774436261578</v>
      </c>
      <c r="B227" s="45" t="s">
        <v>59</v>
      </c>
      <c r="C227" s="45">
        <v>30</v>
      </c>
      <c r="D227" s="47">
        <f>VLOOKUP(Добавить18[[#This Row],[Товар]],Итоговая!$G$1:$H$14,2,0)*Добавить18[[#This Row],[количество_единиц_товара]]</f>
        <v>60000</v>
      </c>
      <c r="E227" s="45" t="s">
        <v>71</v>
      </c>
      <c r="F227" s="45" t="s">
        <v>94</v>
      </c>
    </row>
    <row r="228" spans="1:6" x14ac:dyDescent="0.3">
      <c r="A228" s="44">
        <v>42405.454785185182</v>
      </c>
      <c r="B228" s="45" t="s">
        <v>52</v>
      </c>
      <c r="C228" s="45">
        <v>11</v>
      </c>
      <c r="D228" s="47">
        <f>VLOOKUP(Добавить18[[#This Row],[Товар]],Итоговая!$G$1:$H$14,2,0)*Добавить18[[#This Row],[количество_единиц_товара]]</f>
        <v>7480</v>
      </c>
      <c r="E228" s="45" t="s">
        <v>70</v>
      </c>
      <c r="F228" s="45" t="s">
        <v>94</v>
      </c>
    </row>
    <row r="229" spans="1:6" x14ac:dyDescent="0.3">
      <c r="A229" s="44">
        <v>42408.953883888891</v>
      </c>
      <c r="B229" s="45" t="s">
        <v>51</v>
      </c>
      <c r="C229" s="45">
        <v>31</v>
      </c>
      <c r="D229" s="47">
        <f>VLOOKUP(Добавить18[[#This Row],[Товар]],Итоговая!$G$1:$H$14,2,0)*Добавить18[[#This Row],[количество_единиц_товара]]</f>
        <v>79360</v>
      </c>
      <c r="E229" s="45" t="s">
        <v>69</v>
      </c>
      <c r="F229" s="45" t="s">
        <v>94</v>
      </c>
    </row>
    <row r="230" spans="1:6" x14ac:dyDescent="0.3">
      <c r="A230" s="44">
        <v>42412.762764328705</v>
      </c>
      <c r="B230" s="45" t="s">
        <v>52</v>
      </c>
      <c r="C230" s="45">
        <v>32</v>
      </c>
      <c r="D230" s="47">
        <f>VLOOKUP(Добавить18[[#This Row],[Товар]],Итоговая!$G$1:$H$14,2,0)*Добавить18[[#This Row],[количество_единиц_товара]]</f>
        <v>21760</v>
      </c>
      <c r="E230" s="45" t="s">
        <v>71</v>
      </c>
      <c r="F230" s="45" t="s">
        <v>94</v>
      </c>
    </row>
    <row r="231" spans="1:6" x14ac:dyDescent="0.3">
      <c r="A231" s="44">
        <v>42426.187286736109</v>
      </c>
      <c r="B231" s="45" t="s">
        <v>52</v>
      </c>
      <c r="C231" s="45">
        <v>36</v>
      </c>
      <c r="D231" s="47">
        <f>VLOOKUP(Добавить18[[#This Row],[Товар]],Итоговая!$G$1:$H$14,2,0)*Добавить18[[#This Row],[количество_единиц_товара]]</f>
        <v>24480</v>
      </c>
      <c r="E231" s="45" t="s">
        <v>70</v>
      </c>
      <c r="F231" s="45" t="s">
        <v>94</v>
      </c>
    </row>
    <row r="232" spans="1:6" x14ac:dyDescent="0.3">
      <c r="A232" s="44">
        <v>42440.229837824074</v>
      </c>
      <c r="B232" s="45" t="s">
        <v>49</v>
      </c>
      <c r="C232" s="45">
        <v>18</v>
      </c>
      <c r="D232" s="47">
        <f>VLOOKUP(Добавить18[[#This Row],[Товар]],Итоговая!$G$1:$H$14,2,0)*Добавить18[[#This Row],[количество_единиц_товара]]</f>
        <v>55800</v>
      </c>
      <c r="E232" s="45" t="s">
        <v>71</v>
      </c>
      <c r="F232" s="45" t="s">
        <v>94</v>
      </c>
    </row>
    <row r="233" spans="1:6" x14ac:dyDescent="0.3">
      <c r="A233" s="44">
        <v>42451.971855949072</v>
      </c>
      <c r="B233" s="45" t="s">
        <v>50</v>
      </c>
      <c r="C233" s="45">
        <v>37</v>
      </c>
      <c r="D233" s="47">
        <f>VLOOKUP(Добавить18[[#This Row],[Товар]],Итоговая!$G$1:$H$14,2,0)*Добавить18[[#This Row],[количество_единиц_товара]]</f>
        <v>81400</v>
      </c>
      <c r="E233" s="45" t="s">
        <v>71</v>
      </c>
      <c r="F233" s="45" t="s">
        <v>94</v>
      </c>
    </row>
    <row r="234" spans="1:6" x14ac:dyDescent="0.3">
      <c r="A234" s="44">
        <v>42464.15590150463</v>
      </c>
      <c r="B234" s="45" t="s">
        <v>53</v>
      </c>
      <c r="C234" s="45">
        <v>40</v>
      </c>
      <c r="D234" s="47">
        <f>VLOOKUP(Добавить18[[#This Row],[Товар]],Итоговая!$G$1:$H$14,2,0)*Добавить18[[#This Row],[количество_единиц_товара]]</f>
        <v>71520</v>
      </c>
      <c r="E234" s="45" t="s">
        <v>69</v>
      </c>
      <c r="F234" s="45" t="s">
        <v>94</v>
      </c>
    </row>
    <row r="235" spans="1:6" x14ac:dyDescent="0.3">
      <c r="A235" s="44">
        <v>42467.112041087959</v>
      </c>
      <c r="B235" s="45" t="s">
        <v>59</v>
      </c>
      <c r="C235" s="45">
        <v>14</v>
      </c>
      <c r="D235" s="47">
        <f>VLOOKUP(Добавить18[[#This Row],[Товар]],Итоговая!$G$1:$H$14,2,0)*Добавить18[[#This Row],[количество_единиц_товара]]</f>
        <v>28000</v>
      </c>
      <c r="E235" s="45" t="s">
        <v>70</v>
      </c>
      <c r="F235" s="45" t="s">
        <v>94</v>
      </c>
    </row>
    <row r="236" spans="1:6" x14ac:dyDescent="0.3">
      <c r="A236" s="44">
        <v>42482.849901250003</v>
      </c>
      <c r="B236" s="45" t="s">
        <v>56</v>
      </c>
      <c r="C236" s="45">
        <v>24</v>
      </c>
      <c r="D236" s="47">
        <f>VLOOKUP(Добавить18[[#This Row],[Товар]],Итоговая!$G$1:$H$14,2,0)*Добавить18[[#This Row],[количество_единиц_товара]]</f>
        <v>38400</v>
      </c>
      <c r="E236" s="45" t="s">
        <v>69</v>
      </c>
      <c r="F236" s="45" t="s">
        <v>94</v>
      </c>
    </row>
    <row r="237" spans="1:6" x14ac:dyDescent="0.3">
      <c r="A237" s="44">
        <v>42487.658706736111</v>
      </c>
      <c r="B237" s="45" t="s">
        <v>56</v>
      </c>
      <c r="C237" s="45">
        <v>34</v>
      </c>
      <c r="D237" s="47">
        <f>VLOOKUP(Добавить18[[#This Row],[Товар]],Итоговая!$G$1:$H$14,2,0)*Добавить18[[#This Row],[количество_единиц_товара]]</f>
        <v>54400</v>
      </c>
      <c r="E237" s="45" t="s">
        <v>70</v>
      </c>
      <c r="F237" s="45" t="s">
        <v>94</v>
      </c>
    </row>
    <row r="238" spans="1:6" x14ac:dyDescent="0.3">
      <c r="A238" s="44">
        <v>42493.539358946757</v>
      </c>
      <c r="B238" s="45" t="s">
        <v>52</v>
      </c>
      <c r="C238" s="45">
        <v>25</v>
      </c>
      <c r="D238" s="47">
        <f>VLOOKUP(Добавить18[[#This Row],[Товар]],Итоговая!$G$1:$H$14,2,0)*Добавить18[[#This Row],[количество_единиц_товара]]</f>
        <v>17000</v>
      </c>
      <c r="E238" s="45" t="s">
        <v>69</v>
      </c>
      <c r="F238" s="45" t="s">
        <v>94</v>
      </c>
    </row>
    <row r="239" spans="1:6" x14ac:dyDescent="0.3">
      <c r="A239" s="44">
        <v>42501.201393217591</v>
      </c>
      <c r="B239" s="45" t="s">
        <v>50</v>
      </c>
      <c r="C239" s="45">
        <v>14</v>
      </c>
      <c r="D239" s="47">
        <f>VLOOKUP(Добавить18[[#This Row],[Товар]],Итоговая!$G$1:$H$14,2,0)*Добавить18[[#This Row],[количество_единиц_товара]]</f>
        <v>30800</v>
      </c>
      <c r="E239" s="45" t="s">
        <v>69</v>
      </c>
      <c r="F239" s="45" t="s">
        <v>94</v>
      </c>
    </row>
    <row r="240" spans="1:6" x14ac:dyDescent="0.3">
      <c r="A240" s="44">
        <v>42504.132593402777</v>
      </c>
      <c r="B240" s="45" t="s">
        <v>58</v>
      </c>
      <c r="C240" s="45">
        <v>30</v>
      </c>
      <c r="D240" s="47">
        <f>VLOOKUP(Добавить18[[#This Row],[Товар]],Итоговая!$G$1:$H$14,2,0)*Добавить18[[#This Row],[количество_единиц_товара]]</f>
        <v>133650</v>
      </c>
      <c r="E240" s="45" t="s">
        <v>69</v>
      </c>
      <c r="F240" s="45" t="s">
        <v>94</v>
      </c>
    </row>
    <row r="241" spans="1:6" x14ac:dyDescent="0.3">
      <c r="A241" s="44">
        <v>42510.509502939814</v>
      </c>
      <c r="B241" s="45" t="s">
        <v>59</v>
      </c>
      <c r="C241" s="45">
        <v>30</v>
      </c>
      <c r="D241" s="47">
        <f>VLOOKUP(Добавить18[[#This Row],[Товар]],Итоговая!$G$1:$H$14,2,0)*Добавить18[[#This Row],[количество_единиц_товара]]</f>
        <v>60000</v>
      </c>
      <c r="E241" s="45" t="s">
        <v>69</v>
      </c>
      <c r="F241" s="45" t="s">
        <v>94</v>
      </c>
    </row>
    <row r="242" spans="1:6" x14ac:dyDescent="0.3">
      <c r="A242" s="44">
        <v>42512.427067303244</v>
      </c>
      <c r="B242" s="45" t="s">
        <v>59</v>
      </c>
      <c r="C242" s="45">
        <v>34</v>
      </c>
      <c r="D242" s="47">
        <f>VLOOKUP(Добавить18[[#This Row],[Товар]],Итоговая!$G$1:$H$14,2,0)*Добавить18[[#This Row],[количество_единиц_товара]]</f>
        <v>68000</v>
      </c>
      <c r="E242" s="45" t="s">
        <v>70</v>
      </c>
      <c r="F242" s="45" t="s">
        <v>94</v>
      </c>
    </row>
    <row r="243" spans="1:6" x14ac:dyDescent="0.3">
      <c r="A243" s="44">
        <v>42521.23022690972</v>
      </c>
      <c r="B243" s="45" t="s">
        <v>52</v>
      </c>
      <c r="C243" s="45">
        <v>13</v>
      </c>
      <c r="D243" s="47">
        <f>VLOOKUP(Добавить18[[#This Row],[Товар]],Итоговая!$G$1:$H$14,2,0)*Добавить18[[#This Row],[количество_единиц_товара]]</f>
        <v>8840</v>
      </c>
      <c r="E243" s="45" t="s">
        <v>71</v>
      </c>
      <c r="F243" s="45" t="s">
        <v>94</v>
      </c>
    </row>
    <row r="244" spans="1:6" x14ac:dyDescent="0.3">
      <c r="A244" s="44">
        <v>42535.193046192129</v>
      </c>
      <c r="B244" s="45" t="s">
        <v>49</v>
      </c>
      <c r="C244" s="45">
        <v>29</v>
      </c>
      <c r="D244" s="47">
        <f>VLOOKUP(Добавить18[[#This Row],[Товар]],Итоговая!$G$1:$H$14,2,0)*Добавить18[[#This Row],[количество_единиц_товара]]</f>
        <v>89900</v>
      </c>
      <c r="E244" s="45" t="s">
        <v>71</v>
      </c>
      <c r="F244" s="45" t="s">
        <v>94</v>
      </c>
    </row>
    <row r="245" spans="1:6" x14ac:dyDescent="0.3">
      <c r="A245" s="44">
        <v>42539.095548657409</v>
      </c>
      <c r="B245" s="45" t="s">
        <v>54</v>
      </c>
      <c r="C245" s="45">
        <v>24</v>
      </c>
      <c r="D245" s="47">
        <f>VLOOKUP(Добавить18[[#This Row],[Товар]],Итоговая!$G$1:$H$14,2,0)*Добавить18[[#This Row],[количество_единиц_товара]]</f>
        <v>58800</v>
      </c>
      <c r="E245" s="45" t="s">
        <v>71</v>
      </c>
      <c r="F245" s="45" t="s">
        <v>94</v>
      </c>
    </row>
    <row r="246" spans="1:6" x14ac:dyDescent="0.3">
      <c r="A246" s="44">
        <v>42553.451078043981</v>
      </c>
      <c r="B246" s="45" t="s">
        <v>52</v>
      </c>
      <c r="C246" s="45">
        <v>26</v>
      </c>
      <c r="D246" s="47">
        <f>VLOOKUP(Добавить18[[#This Row],[Товар]],Итоговая!$G$1:$H$14,2,0)*Добавить18[[#This Row],[количество_единиц_товара]]</f>
        <v>17680</v>
      </c>
      <c r="E246" s="45" t="s">
        <v>70</v>
      </c>
      <c r="F246" s="45" t="s">
        <v>94</v>
      </c>
    </row>
    <row r="247" spans="1:6" x14ac:dyDescent="0.3">
      <c r="A247" s="44">
        <v>42556.290312523146</v>
      </c>
      <c r="B247" s="45" t="s">
        <v>60</v>
      </c>
      <c r="C247" s="45">
        <v>20</v>
      </c>
      <c r="D247" s="47">
        <f>VLOOKUP(Добавить18[[#This Row],[Товар]],Итоговая!$G$1:$H$14,2,0)*Добавить18[[#This Row],[количество_единиц_товара]]</f>
        <v>115780</v>
      </c>
      <c r="E247" s="45" t="s">
        <v>70</v>
      </c>
      <c r="F247" s="45" t="s">
        <v>94</v>
      </c>
    </row>
    <row r="248" spans="1:6" x14ac:dyDescent="0.3">
      <c r="A248" s="44">
        <v>42573.603825185186</v>
      </c>
      <c r="B248" s="45" t="s">
        <v>60</v>
      </c>
      <c r="C248" s="45">
        <v>26</v>
      </c>
      <c r="D248" s="47">
        <f>VLOOKUP(Добавить18[[#This Row],[Товар]],Итоговая!$G$1:$H$14,2,0)*Добавить18[[#This Row],[количество_единиц_товара]]</f>
        <v>150514</v>
      </c>
      <c r="E248" s="45" t="s">
        <v>70</v>
      </c>
      <c r="F248" s="45" t="s">
        <v>94</v>
      </c>
    </row>
    <row r="249" spans="1:6" x14ac:dyDescent="0.3">
      <c r="A249" s="44">
        <v>42610.662754722223</v>
      </c>
      <c r="B249" s="45" t="s">
        <v>58</v>
      </c>
      <c r="C249" s="45">
        <v>13</v>
      </c>
      <c r="D249" s="47">
        <f>VLOOKUP(Добавить18[[#This Row],[Товар]],Итоговая!$G$1:$H$14,2,0)*Добавить18[[#This Row],[количество_единиц_товара]]</f>
        <v>57915</v>
      </c>
      <c r="E249" s="45" t="s">
        <v>70</v>
      </c>
      <c r="F249" s="45" t="s">
        <v>94</v>
      </c>
    </row>
    <row r="250" spans="1:6" x14ac:dyDescent="0.3">
      <c r="A250" s="44">
        <v>42621.329781759261</v>
      </c>
      <c r="B250" s="45" t="s">
        <v>50</v>
      </c>
      <c r="C250" s="45">
        <v>35</v>
      </c>
      <c r="D250" s="47">
        <f>VLOOKUP(Добавить18[[#This Row],[Товар]],Итоговая!$G$1:$H$14,2,0)*Добавить18[[#This Row],[количество_единиц_товара]]</f>
        <v>77000</v>
      </c>
      <c r="E250" s="45" t="s">
        <v>70</v>
      </c>
      <c r="F250" s="45" t="s">
        <v>94</v>
      </c>
    </row>
    <row r="251" spans="1:6" x14ac:dyDescent="0.3">
      <c r="A251" s="44">
        <v>42632.804821527781</v>
      </c>
      <c r="B251" s="45" t="s">
        <v>52</v>
      </c>
      <c r="C251" s="45">
        <v>24</v>
      </c>
      <c r="D251" s="47">
        <f>VLOOKUP(Добавить18[[#This Row],[Товар]],Итоговая!$G$1:$H$14,2,0)*Добавить18[[#This Row],[количество_единиц_товара]]</f>
        <v>16320</v>
      </c>
      <c r="E251" s="45" t="s">
        <v>70</v>
      </c>
      <c r="F251" s="45" t="s">
        <v>94</v>
      </c>
    </row>
    <row r="252" spans="1:6" x14ac:dyDescent="0.3">
      <c r="A252" s="44">
        <v>42637.069138645835</v>
      </c>
      <c r="B252" s="45" t="s">
        <v>52</v>
      </c>
      <c r="C252" s="45">
        <v>17</v>
      </c>
      <c r="D252" s="47">
        <f>VLOOKUP(Добавить18[[#This Row],[Товар]],Итоговая!$G$1:$H$14,2,0)*Добавить18[[#This Row],[количество_единиц_товара]]</f>
        <v>11560</v>
      </c>
      <c r="E252" s="45" t="s">
        <v>69</v>
      </c>
      <c r="F252" s="45" t="s">
        <v>94</v>
      </c>
    </row>
    <row r="253" spans="1:6" x14ac:dyDescent="0.3">
      <c r="A253" s="44">
        <v>42647.876372800929</v>
      </c>
      <c r="B253" s="45" t="s">
        <v>59</v>
      </c>
      <c r="C253" s="45">
        <v>18</v>
      </c>
      <c r="D253" s="47">
        <f>VLOOKUP(Добавить18[[#This Row],[Товар]],Итоговая!$G$1:$H$14,2,0)*Добавить18[[#This Row],[количество_единиц_товара]]</f>
        <v>36000</v>
      </c>
      <c r="E253" s="45" t="s">
        <v>71</v>
      </c>
      <c r="F253" s="45" t="s">
        <v>94</v>
      </c>
    </row>
    <row r="254" spans="1:6" x14ac:dyDescent="0.3">
      <c r="A254" s="44">
        <v>42653.118669513889</v>
      </c>
      <c r="B254" s="45" t="s">
        <v>51</v>
      </c>
      <c r="C254" s="45">
        <v>36</v>
      </c>
      <c r="D254" s="47">
        <f>VLOOKUP(Добавить18[[#This Row],[Товар]],Итоговая!$G$1:$H$14,2,0)*Добавить18[[#This Row],[количество_единиц_товара]]</f>
        <v>92160</v>
      </c>
      <c r="E254" s="45" t="s">
        <v>70</v>
      </c>
      <c r="F254" s="45" t="s">
        <v>94</v>
      </c>
    </row>
    <row r="255" spans="1:6" x14ac:dyDescent="0.3">
      <c r="A255" s="44">
        <v>42653.800146689813</v>
      </c>
      <c r="B255" s="45" t="s">
        <v>55</v>
      </c>
      <c r="C255" s="45">
        <v>31</v>
      </c>
      <c r="D255" s="47">
        <f>VLOOKUP(Добавить18[[#This Row],[Товар]],Итоговая!$G$1:$H$14,2,0)*Добавить18[[#This Row],[количество_единиц_товара]]</f>
        <v>139500</v>
      </c>
      <c r="E255" s="45" t="s">
        <v>70</v>
      </c>
      <c r="F255" s="45" t="s">
        <v>94</v>
      </c>
    </row>
    <row r="256" spans="1:6" x14ac:dyDescent="0.3">
      <c r="A256" s="44">
        <v>42680.531473298608</v>
      </c>
      <c r="B256" s="45" t="s">
        <v>52</v>
      </c>
      <c r="C256" s="45">
        <v>18</v>
      </c>
      <c r="D256" s="47">
        <f>VLOOKUP(Добавить18[[#This Row],[Товар]],Итоговая!$G$1:$H$14,2,0)*Добавить18[[#This Row],[количество_единиц_товара]]</f>
        <v>12240</v>
      </c>
      <c r="E256" s="45" t="s">
        <v>70</v>
      </c>
      <c r="F256" s="45" t="s">
        <v>94</v>
      </c>
    </row>
    <row r="257" spans="1:6" x14ac:dyDescent="0.3">
      <c r="A257" s="44">
        <v>42680.84709855324</v>
      </c>
      <c r="B257" s="45" t="s">
        <v>51</v>
      </c>
      <c r="C257" s="45">
        <v>20</v>
      </c>
      <c r="D257" s="47">
        <f>VLOOKUP(Добавить18[[#This Row],[Товар]],Итоговая!$G$1:$H$14,2,0)*Добавить18[[#This Row],[количество_единиц_товара]]</f>
        <v>51200</v>
      </c>
      <c r="E257" s="45" t="s">
        <v>70</v>
      </c>
      <c r="F257" s="45" t="s">
        <v>94</v>
      </c>
    </row>
    <row r="258" spans="1:6" x14ac:dyDescent="0.3">
      <c r="A258" s="44">
        <v>42695.87267005787</v>
      </c>
      <c r="B258" s="45" t="s">
        <v>53</v>
      </c>
      <c r="C258" s="45">
        <v>28</v>
      </c>
      <c r="D258" s="47">
        <f>VLOOKUP(Добавить18[[#This Row],[Товар]],Итоговая!$G$1:$H$14,2,0)*Добавить18[[#This Row],[количество_единиц_товара]]</f>
        <v>50064</v>
      </c>
      <c r="E258" s="45" t="s">
        <v>69</v>
      </c>
      <c r="F258" s="45" t="s">
        <v>94</v>
      </c>
    </row>
    <row r="259" spans="1:6" x14ac:dyDescent="0.3">
      <c r="A259" s="44">
        <v>42697.470730497684</v>
      </c>
      <c r="B259" s="45" t="s">
        <v>51</v>
      </c>
      <c r="C259" s="45">
        <v>21</v>
      </c>
      <c r="D259" s="47">
        <f>VLOOKUP(Добавить18[[#This Row],[Товар]],Итоговая!$G$1:$H$14,2,0)*Добавить18[[#This Row],[количество_единиц_товара]]</f>
        <v>53760</v>
      </c>
      <c r="E259" s="45" t="s">
        <v>71</v>
      </c>
      <c r="F259" s="45" t="s">
        <v>94</v>
      </c>
    </row>
    <row r="260" spans="1:6" x14ac:dyDescent="0.3">
      <c r="A260" s="44">
        <v>42707.020151759258</v>
      </c>
      <c r="B260" s="45" t="s">
        <v>60</v>
      </c>
      <c r="C260" s="45">
        <v>25</v>
      </c>
      <c r="D260" s="47">
        <f>VLOOKUP(Добавить18[[#This Row],[Товар]],Итоговая!$G$1:$H$14,2,0)*Добавить18[[#This Row],[количество_единиц_товара]]</f>
        <v>144725</v>
      </c>
      <c r="E260" s="45" t="s">
        <v>70</v>
      </c>
      <c r="F260" s="45" t="s">
        <v>94</v>
      </c>
    </row>
    <row r="261" spans="1:6" x14ac:dyDescent="0.3">
      <c r="A261" s="44">
        <v>42710.08105241898</v>
      </c>
      <c r="B261" s="45" t="s">
        <v>54</v>
      </c>
      <c r="C261" s="45">
        <v>14</v>
      </c>
      <c r="D261" s="47">
        <f>VLOOKUP(Добавить18[[#This Row],[Товар]],Итоговая!$G$1:$H$14,2,0)*Добавить18[[#This Row],[количество_единиц_товара]]</f>
        <v>34300</v>
      </c>
      <c r="E261" s="45" t="s">
        <v>71</v>
      </c>
      <c r="F261" s="45" t="s">
        <v>94</v>
      </c>
    </row>
    <row r="262" spans="1:6" x14ac:dyDescent="0.3">
      <c r="A262" s="44">
        <v>42711.493975659723</v>
      </c>
      <c r="B262" s="45" t="s">
        <v>61</v>
      </c>
      <c r="C262" s="45">
        <v>11</v>
      </c>
      <c r="D262" s="47">
        <f>VLOOKUP(Добавить18[[#This Row],[Товар]],Итоговая!$G$1:$H$14,2,0)*Добавить18[[#This Row],[количество_единиц_товара]]</f>
        <v>38170</v>
      </c>
      <c r="E262" s="45" t="s">
        <v>69</v>
      </c>
      <c r="F262" s="45" t="s">
        <v>94</v>
      </c>
    </row>
    <row r="263" spans="1:6" x14ac:dyDescent="0.3">
      <c r="A263" s="44">
        <v>42715.02643258102</v>
      </c>
      <c r="B263" s="45" t="s">
        <v>61</v>
      </c>
      <c r="C263" s="45">
        <v>34</v>
      </c>
      <c r="D263" s="47">
        <f>VLOOKUP(Добавить18[[#This Row],[Товар]],Итоговая!$G$1:$H$14,2,0)*Добавить18[[#This Row],[количество_единиц_товара]]</f>
        <v>117980</v>
      </c>
      <c r="E263" s="45" t="s">
        <v>70</v>
      </c>
      <c r="F263" s="45" t="s">
        <v>94</v>
      </c>
    </row>
    <row r="264" spans="1:6" x14ac:dyDescent="0.3">
      <c r="A264" s="44">
        <v>42717.348235393518</v>
      </c>
      <c r="B264" s="45" t="s">
        <v>49</v>
      </c>
      <c r="C264" s="45">
        <v>14</v>
      </c>
      <c r="D264" s="47">
        <f>VLOOKUP(Добавить18[[#This Row],[Товар]],Итоговая!$G$1:$H$14,2,0)*Добавить18[[#This Row],[количество_единиц_товара]]</f>
        <v>43400</v>
      </c>
      <c r="E264" s="45" t="s">
        <v>70</v>
      </c>
      <c r="F264" s="45" t="s">
        <v>94</v>
      </c>
    </row>
    <row r="265" spans="1:6" x14ac:dyDescent="0.3">
      <c r="A265" s="44">
        <v>42725.252883969908</v>
      </c>
      <c r="B265" s="45" t="s">
        <v>61</v>
      </c>
      <c r="C265" s="45">
        <v>12</v>
      </c>
      <c r="D265" s="47">
        <f>VLOOKUP(Добавить18[[#This Row],[Товар]],Итоговая!$G$1:$H$14,2,0)*Добавить18[[#This Row],[количество_единиц_товара]]</f>
        <v>41640</v>
      </c>
      <c r="E265" s="45" t="s">
        <v>70</v>
      </c>
      <c r="F265" s="45" t="s">
        <v>94</v>
      </c>
    </row>
    <row r="266" spans="1:6" x14ac:dyDescent="0.3">
      <c r="A266" s="44">
        <v>42740.721751006946</v>
      </c>
      <c r="B266" s="45" t="s">
        <v>50</v>
      </c>
      <c r="C266" s="45">
        <v>21</v>
      </c>
      <c r="D266" s="47">
        <f>VLOOKUP(Добавить18[[#This Row],[Товар]],Итоговая!$G$1:$H$14,2,0)*Добавить18[[#This Row],[количество_единиц_товара]]</f>
        <v>46200</v>
      </c>
      <c r="E266" s="45" t="s">
        <v>70</v>
      </c>
      <c r="F266" s="45" t="s">
        <v>94</v>
      </c>
    </row>
    <row r="267" spans="1:6" x14ac:dyDescent="0.3">
      <c r="A267" s="44">
        <v>42752.517005208334</v>
      </c>
      <c r="B267" s="45" t="s">
        <v>61</v>
      </c>
      <c r="C267" s="45">
        <v>14</v>
      </c>
      <c r="D267" s="47">
        <f>VLOOKUP(Добавить18[[#This Row],[Товар]],Итоговая!$G$1:$H$14,2,0)*Добавить18[[#This Row],[количество_единиц_товара]]</f>
        <v>48580</v>
      </c>
      <c r="E267" s="45" t="s">
        <v>70</v>
      </c>
      <c r="F267" s="45" t="s">
        <v>94</v>
      </c>
    </row>
    <row r="268" spans="1:6" x14ac:dyDescent="0.3">
      <c r="A268" s="44">
        <v>42758.00816675926</v>
      </c>
      <c r="B268" s="45" t="s">
        <v>58</v>
      </c>
      <c r="C268" s="45">
        <v>25</v>
      </c>
      <c r="D268" s="47">
        <f>VLOOKUP(Добавить18[[#This Row],[Товар]],Итоговая!$G$1:$H$14,2,0)*Добавить18[[#This Row],[количество_единиц_товара]]</f>
        <v>111375</v>
      </c>
      <c r="E268" s="45" t="s">
        <v>69</v>
      </c>
      <c r="F268" s="45" t="s">
        <v>94</v>
      </c>
    </row>
    <row r="269" spans="1:6" x14ac:dyDescent="0.3">
      <c r="A269" s="44">
        <v>42758.628516747682</v>
      </c>
      <c r="B269" s="45" t="s">
        <v>52</v>
      </c>
      <c r="C269" s="45">
        <v>16</v>
      </c>
      <c r="D269" s="47">
        <f>VLOOKUP(Добавить18[[#This Row],[Товар]],Итоговая!$G$1:$H$14,2,0)*Добавить18[[#This Row],[количество_единиц_товара]]</f>
        <v>10880</v>
      </c>
      <c r="E269" s="45" t="s">
        <v>69</v>
      </c>
      <c r="F269" s="45" t="s">
        <v>94</v>
      </c>
    </row>
    <row r="270" spans="1:6" x14ac:dyDescent="0.3">
      <c r="A270" s="44">
        <v>42759.713772523151</v>
      </c>
      <c r="B270" s="45" t="s">
        <v>52</v>
      </c>
      <c r="C270" s="45">
        <v>31</v>
      </c>
      <c r="D270" s="47">
        <f>VLOOKUP(Добавить18[[#This Row],[Товар]],Итоговая!$G$1:$H$14,2,0)*Добавить18[[#This Row],[количество_единиц_товара]]</f>
        <v>21080</v>
      </c>
      <c r="E270" s="45" t="s">
        <v>70</v>
      </c>
      <c r="F270" s="45" t="s">
        <v>94</v>
      </c>
    </row>
    <row r="271" spans="1:6" x14ac:dyDescent="0.3">
      <c r="A271" s="44">
        <v>42801.499128923613</v>
      </c>
      <c r="B271" s="45" t="s">
        <v>52</v>
      </c>
      <c r="C271" s="45">
        <v>28</v>
      </c>
      <c r="D271" s="47">
        <f>VLOOKUP(Добавить18[[#This Row],[Товар]],Итоговая!$G$1:$H$14,2,0)*Добавить18[[#This Row],[количество_единиц_товара]]</f>
        <v>19040</v>
      </c>
      <c r="E271" s="45" t="s">
        <v>69</v>
      </c>
      <c r="F271" s="45" t="s">
        <v>94</v>
      </c>
    </row>
    <row r="272" spans="1:6" x14ac:dyDescent="0.3">
      <c r="A272" s="44">
        <v>42803.795300810183</v>
      </c>
      <c r="B272" s="45" t="s">
        <v>52</v>
      </c>
      <c r="C272" s="45">
        <v>26</v>
      </c>
      <c r="D272" s="47">
        <f>VLOOKUP(Добавить18[[#This Row],[Товар]],Итоговая!$G$1:$H$14,2,0)*Добавить18[[#This Row],[количество_единиц_товара]]</f>
        <v>17680</v>
      </c>
      <c r="E272" s="45" t="s">
        <v>70</v>
      </c>
      <c r="F272" s="45" t="s">
        <v>94</v>
      </c>
    </row>
    <row r="273" spans="1:6" x14ac:dyDescent="0.3">
      <c r="A273" s="44">
        <v>42828.45414454861</v>
      </c>
      <c r="B273" s="45" t="s">
        <v>59</v>
      </c>
      <c r="C273" s="45">
        <v>31</v>
      </c>
      <c r="D273" s="47">
        <f>VLOOKUP(Добавить18[[#This Row],[Товар]],Итоговая!$G$1:$H$14,2,0)*Добавить18[[#This Row],[количество_единиц_товара]]</f>
        <v>62000</v>
      </c>
      <c r="E273" s="45" t="s">
        <v>70</v>
      </c>
      <c r="F273" s="45" t="s">
        <v>94</v>
      </c>
    </row>
    <row r="274" spans="1:6" x14ac:dyDescent="0.3">
      <c r="A274" s="44">
        <v>42829.257070115738</v>
      </c>
      <c r="B274" s="45" t="s">
        <v>56</v>
      </c>
      <c r="C274" s="45">
        <v>33</v>
      </c>
      <c r="D274" s="47">
        <f>VLOOKUP(Добавить18[[#This Row],[Товар]],Итоговая!$G$1:$H$14,2,0)*Добавить18[[#This Row],[количество_единиц_товара]]</f>
        <v>52800</v>
      </c>
      <c r="E274" s="45" t="s">
        <v>69</v>
      </c>
      <c r="F274" s="45" t="s">
        <v>94</v>
      </c>
    </row>
    <row r="275" spans="1:6" x14ac:dyDescent="0.3">
      <c r="A275" s="44">
        <v>42856.823983495371</v>
      </c>
      <c r="B275" s="45" t="s">
        <v>55</v>
      </c>
      <c r="C275" s="45">
        <v>21</v>
      </c>
      <c r="D275" s="47">
        <f>VLOOKUP(Добавить18[[#This Row],[Товар]],Итоговая!$G$1:$H$14,2,0)*Добавить18[[#This Row],[количество_единиц_товара]]</f>
        <v>94500</v>
      </c>
      <c r="E275" s="45" t="s">
        <v>69</v>
      </c>
      <c r="F275" s="45" t="s">
        <v>94</v>
      </c>
    </row>
    <row r="276" spans="1:6" x14ac:dyDescent="0.3">
      <c r="A276" s="44">
        <v>42861.09953712963</v>
      </c>
      <c r="B276" s="45" t="s">
        <v>53</v>
      </c>
      <c r="C276" s="45">
        <v>28</v>
      </c>
      <c r="D276" s="47">
        <f>VLOOKUP(Добавить18[[#This Row],[Товар]],Итоговая!$G$1:$H$14,2,0)*Добавить18[[#This Row],[количество_единиц_товара]]</f>
        <v>50064</v>
      </c>
      <c r="E276" s="45" t="s">
        <v>71</v>
      </c>
      <c r="F276" s="45" t="s">
        <v>94</v>
      </c>
    </row>
    <row r="277" spans="1:6" x14ac:dyDescent="0.3">
      <c r="A277" s="44">
        <v>42871.772154004633</v>
      </c>
      <c r="B277" s="45" t="s">
        <v>51</v>
      </c>
      <c r="C277" s="45">
        <v>22</v>
      </c>
      <c r="D277" s="47">
        <f>VLOOKUP(Добавить18[[#This Row],[Товар]],Итоговая!$G$1:$H$14,2,0)*Добавить18[[#This Row],[количество_единиц_товара]]</f>
        <v>56320</v>
      </c>
      <c r="E277" s="45" t="s">
        <v>70</v>
      </c>
      <c r="F277" s="45" t="s">
        <v>94</v>
      </c>
    </row>
    <row r="278" spans="1:6" x14ac:dyDescent="0.3">
      <c r="A278" s="44">
        <v>42876.603492152775</v>
      </c>
      <c r="B278" s="45" t="s">
        <v>54</v>
      </c>
      <c r="C278" s="45">
        <v>29</v>
      </c>
      <c r="D278" s="47">
        <f>VLOOKUP(Добавить18[[#This Row],[Товар]],Итоговая!$G$1:$H$14,2,0)*Добавить18[[#This Row],[количество_единиц_товара]]</f>
        <v>71050</v>
      </c>
      <c r="E278" s="45" t="s">
        <v>70</v>
      </c>
      <c r="F278" s="45" t="s">
        <v>94</v>
      </c>
    </row>
    <row r="279" spans="1:6" x14ac:dyDescent="0.3">
      <c r="A279" s="44">
        <v>42877.29025489583</v>
      </c>
      <c r="B279" s="45" t="s">
        <v>55</v>
      </c>
      <c r="C279" s="45">
        <v>11</v>
      </c>
      <c r="D279" s="47">
        <f>VLOOKUP(Добавить18[[#This Row],[Товар]],Итоговая!$G$1:$H$14,2,0)*Добавить18[[#This Row],[количество_единиц_товара]]</f>
        <v>49500</v>
      </c>
      <c r="E279" s="45" t="s">
        <v>70</v>
      </c>
      <c r="F279" s="45" t="s">
        <v>94</v>
      </c>
    </row>
    <row r="280" spans="1:6" x14ac:dyDescent="0.3">
      <c r="A280" s="44">
        <v>42884.919297210647</v>
      </c>
      <c r="B280" s="45" t="s">
        <v>56</v>
      </c>
      <c r="C280" s="45">
        <v>40</v>
      </c>
      <c r="D280" s="47">
        <f>VLOOKUP(Добавить18[[#This Row],[Товар]],Итоговая!$G$1:$H$14,2,0)*Добавить18[[#This Row],[количество_единиц_товара]]</f>
        <v>64000</v>
      </c>
      <c r="E280" s="45" t="s">
        <v>69</v>
      </c>
      <c r="F280" s="45" t="s">
        <v>94</v>
      </c>
    </row>
    <row r="281" spans="1:6" x14ac:dyDescent="0.3">
      <c r="A281" s="44">
        <v>42887.959220300923</v>
      </c>
      <c r="B281" s="45" t="s">
        <v>52</v>
      </c>
      <c r="C281" s="45">
        <v>28</v>
      </c>
      <c r="D281" s="47">
        <f>VLOOKUP(Добавить18[[#This Row],[Товар]],Итоговая!$G$1:$H$14,2,0)*Добавить18[[#This Row],[количество_единиц_товара]]</f>
        <v>19040</v>
      </c>
      <c r="E281" s="45" t="s">
        <v>71</v>
      </c>
      <c r="F281" s="45" t="s">
        <v>94</v>
      </c>
    </row>
    <row r="282" spans="1:6" x14ac:dyDescent="0.3">
      <c r="A282" s="44">
        <v>42890.909771365739</v>
      </c>
      <c r="B282" s="45" t="s">
        <v>51</v>
      </c>
      <c r="C282" s="45">
        <v>20</v>
      </c>
      <c r="D282" s="47">
        <f>VLOOKUP(Добавить18[[#This Row],[Товар]],Итоговая!$G$1:$H$14,2,0)*Добавить18[[#This Row],[количество_единиц_товара]]</f>
        <v>51200</v>
      </c>
      <c r="E282" s="45" t="s">
        <v>71</v>
      </c>
      <c r="F282" s="45" t="s">
        <v>94</v>
      </c>
    </row>
    <row r="283" spans="1:6" x14ac:dyDescent="0.3">
      <c r="A283" s="44">
        <v>42908.185525358793</v>
      </c>
      <c r="B283" s="45" t="s">
        <v>61</v>
      </c>
      <c r="C283" s="45">
        <v>27</v>
      </c>
      <c r="D283" s="47">
        <f>VLOOKUP(Добавить18[[#This Row],[Товар]],Итоговая!$G$1:$H$14,2,0)*Добавить18[[#This Row],[количество_единиц_товара]]</f>
        <v>93690</v>
      </c>
      <c r="E283" s="45" t="s">
        <v>69</v>
      </c>
      <c r="F283" s="45" t="s">
        <v>94</v>
      </c>
    </row>
    <row r="284" spans="1:6" x14ac:dyDescent="0.3">
      <c r="A284" s="44">
        <v>42929.758683437503</v>
      </c>
      <c r="B284" s="45" t="s">
        <v>59</v>
      </c>
      <c r="C284" s="45">
        <v>18</v>
      </c>
      <c r="D284" s="47">
        <f>VLOOKUP(Добавить18[[#This Row],[Товар]],Итоговая!$G$1:$H$14,2,0)*Добавить18[[#This Row],[количество_единиц_товара]]</f>
        <v>36000</v>
      </c>
      <c r="E284" s="45" t="s">
        <v>71</v>
      </c>
      <c r="F284" s="45" t="s">
        <v>94</v>
      </c>
    </row>
    <row r="285" spans="1:6" x14ac:dyDescent="0.3">
      <c r="A285" s="44">
        <v>42935.416786145834</v>
      </c>
      <c r="B285" s="45" t="s">
        <v>59</v>
      </c>
      <c r="C285" s="45">
        <v>28</v>
      </c>
      <c r="D285" s="47">
        <f>VLOOKUP(Добавить18[[#This Row],[Товар]],Итоговая!$G$1:$H$14,2,0)*Добавить18[[#This Row],[количество_единиц_товара]]</f>
        <v>56000</v>
      </c>
      <c r="E285" s="45" t="s">
        <v>70</v>
      </c>
      <c r="F285" s="45" t="s">
        <v>94</v>
      </c>
    </row>
    <row r="286" spans="1:6" x14ac:dyDescent="0.3">
      <c r="A286" s="44">
        <v>42938.965791458337</v>
      </c>
      <c r="B286" s="45" t="s">
        <v>53</v>
      </c>
      <c r="C286" s="45">
        <v>38</v>
      </c>
      <c r="D286" s="47">
        <f>VLOOKUP(Добавить18[[#This Row],[Товар]],Итоговая!$G$1:$H$14,2,0)*Добавить18[[#This Row],[количество_единиц_товара]]</f>
        <v>67944</v>
      </c>
      <c r="E286" s="45" t="s">
        <v>70</v>
      </c>
      <c r="F286" s="45" t="s">
        <v>94</v>
      </c>
    </row>
    <row r="287" spans="1:6" x14ac:dyDescent="0.3">
      <c r="A287" s="44">
        <v>42947.778304467596</v>
      </c>
      <c r="B287" s="45" t="s">
        <v>51</v>
      </c>
      <c r="C287" s="45">
        <v>29</v>
      </c>
      <c r="D287" s="47">
        <f>VLOOKUP(Добавить18[[#This Row],[Товар]],Итоговая!$G$1:$H$14,2,0)*Добавить18[[#This Row],[количество_единиц_товара]]</f>
        <v>74240</v>
      </c>
      <c r="E287" s="45" t="s">
        <v>70</v>
      </c>
      <c r="F287" s="45" t="s">
        <v>94</v>
      </c>
    </row>
    <row r="288" spans="1:6" x14ac:dyDescent="0.3">
      <c r="A288" s="44">
        <v>42956.184174594906</v>
      </c>
      <c r="B288" s="45" t="s">
        <v>54</v>
      </c>
      <c r="C288" s="45">
        <v>33</v>
      </c>
      <c r="D288" s="47">
        <f>VLOOKUP(Добавить18[[#This Row],[Товар]],Итоговая!$G$1:$H$14,2,0)*Добавить18[[#This Row],[количество_единиц_товара]]</f>
        <v>80850</v>
      </c>
      <c r="E288" s="45" t="s">
        <v>70</v>
      </c>
      <c r="F288" s="45" t="s">
        <v>94</v>
      </c>
    </row>
    <row r="289" spans="1:6" x14ac:dyDescent="0.3">
      <c r="A289" s="44">
        <v>42960.26899084491</v>
      </c>
      <c r="B289" s="45" t="s">
        <v>55</v>
      </c>
      <c r="C289" s="45">
        <v>25</v>
      </c>
      <c r="D289" s="47">
        <f>VLOOKUP(Добавить18[[#This Row],[Товар]],Итоговая!$G$1:$H$14,2,0)*Добавить18[[#This Row],[количество_единиц_товара]]</f>
        <v>112500</v>
      </c>
      <c r="E289" s="45" t="s">
        <v>69</v>
      </c>
      <c r="F289" s="45" t="s">
        <v>94</v>
      </c>
    </row>
    <row r="290" spans="1:6" x14ac:dyDescent="0.3">
      <c r="A290" s="44">
        <v>42969.714638530095</v>
      </c>
      <c r="B290" s="45" t="s">
        <v>59</v>
      </c>
      <c r="C290" s="45">
        <v>30</v>
      </c>
      <c r="D290" s="47">
        <f>VLOOKUP(Добавить18[[#This Row],[Товар]],Итоговая!$G$1:$H$14,2,0)*Добавить18[[#This Row],[количество_единиц_товара]]</f>
        <v>60000</v>
      </c>
      <c r="E290" s="45" t="s">
        <v>69</v>
      </c>
      <c r="F290" s="45" t="s">
        <v>94</v>
      </c>
    </row>
    <row r="291" spans="1:6" x14ac:dyDescent="0.3">
      <c r="A291" s="44">
        <v>42971.137485011575</v>
      </c>
      <c r="B291" s="45" t="s">
        <v>59</v>
      </c>
      <c r="C291" s="45">
        <v>40</v>
      </c>
      <c r="D291" s="47">
        <f>VLOOKUP(Добавить18[[#This Row],[Товар]],Итоговая!$G$1:$H$14,2,0)*Добавить18[[#This Row],[количество_единиц_товара]]</f>
        <v>80000</v>
      </c>
      <c r="E291" s="45" t="s">
        <v>69</v>
      </c>
      <c r="F291" s="45" t="s">
        <v>94</v>
      </c>
    </row>
    <row r="292" spans="1:6" x14ac:dyDescent="0.3">
      <c r="A292" s="44">
        <v>42973.106403136575</v>
      </c>
      <c r="B292" s="45" t="s">
        <v>51</v>
      </c>
      <c r="C292" s="45">
        <v>13</v>
      </c>
      <c r="D292" s="47">
        <f>VLOOKUP(Добавить18[[#This Row],[Товар]],Итоговая!$G$1:$H$14,2,0)*Добавить18[[#This Row],[количество_единиц_товара]]</f>
        <v>33280</v>
      </c>
      <c r="E292" s="45" t="s">
        <v>69</v>
      </c>
      <c r="F292" s="45" t="s">
        <v>94</v>
      </c>
    </row>
    <row r="293" spans="1:6" x14ac:dyDescent="0.3">
      <c r="A293" s="44">
        <v>42982.823433900463</v>
      </c>
      <c r="B293" s="45" t="s">
        <v>52</v>
      </c>
      <c r="C293" s="45">
        <v>20</v>
      </c>
      <c r="D293" s="47">
        <f>VLOOKUP(Добавить18[[#This Row],[Товар]],Итоговая!$G$1:$H$14,2,0)*Добавить18[[#This Row],[количество_единиц_товара]]</f>
        <v>13600</v>
      </c>
      <c r="E293" s="45" t="s">
        <v>70</v>
      </c>
      <c r="F293" s="45" t="s">
        <v>94</v>
      </c>
    </row>
    <row r="294" spans="1:6" x14ac:dyDescent="0.3">
      <c r="A294" s="44">
        <v>42986.473383807868</v>
      </c>
      <c r="B294" s="45" t="s">
        <v>49</v>
      </c>
      <c r="C294" s="45">
        <v>27</v>
      </c>
      <c r="D294" s="47">
        <f>VLOOKUP(Добавить18[[#This Row],[Товар]],Итоговая!$G$1:$H$14,2,0)*Добавить18[[#This Row],[количество_единиц_товара]]</f>
        <v>83700</v>
      </c>
      <c r="E294" s="45" t="s">
        <v>71</v>
      </c>
      <c r="F294" s="45" t="s">
        <v>94</v>
      </c>
    </row>
    <row r="295" spans="1:6" x14ac:dyDescent="0.3">
      <c r="A295" s="44">
        <v>42992.620621724534</v>
      </c>
      <c r="B295" s="45" t="s">
        <v>53</v>
      </c>
      <c r="C295" s="45">
        <v>32</v>
      </c>
      <c r="D295" s="47">
        <f>VLOOKUP(Добавить18[[#This Row],[Товар]],Итоговая!$G$1:$H$14,2,0)*Добавить18[[#This Row],[количество_единиц_товара]]</f>
        <v>57216</v>
      </c>
      <c r="E295" s="45" t="s">
        <v>71</v>
      </c>
      <c r="F295" s="45" t="s">
        <v>94</v>
      </c>
    </row>
    <row r="296" spans="1:6" x14ac:dyDescent="0.3">
      <c r="A296" s="44">
        <v>43009.998540717592</v>
      </c>
      <c r="B296" s="45" t="s">
        <v>54</v>
      </c>
      <c r="C296" s="45">
        <v>29</v>
      </c>
      <c r="D296" s="47">
        <f>VLOOKUP(Добавить18[[#This Row],[Товар]],Итоговая!$G$1:$H$14,2,0)*Добавить18[[#This Row],[количество_единиц_товара]]</f>
        <v>71050</v>
      </c>
      <c r="E296" s="45" t="s">
        <v>71</v>
      </c>
      <c r="F296" s="45" t="s">
        <v>94</v>
      </c>
    </row>
    <row r="297" spans="1:6" x14ac:dyDescent="0.3">
      <c r="A297" s="44">
        <v>43015.480833657406</v>
      </c>
      <c r="B297" s="45" t="s">
        <v>50</v>
      </c>
      <c r="C297" s="45">
        <v>23</v>
      </c>
      <c r="D297" s="47">
        <f>VLOOKUP(Добавить18[[#This Row],[Товар]],Итоговая!$G$1:$H$14,2,0)*Добавить18[[#This Row],[количество_единиц_товара]]</f>
        <v>50600</v>
      </c>
      <c r="E297" s="45" t="s">
        <v>70</v>
      </c>
      <c r="F297" s="45" t="s">
        <v>94</v>
      </c>
    </row>
    <row r="298" spans="1:6" x14ac:dyDescent="0.3">
      <c r="A298" s="44">
        <v>43023.421094444442</v>
      </c>
      <c r="B298" s="45" t="s">
        <v>49</v>
      </c>
      <c r="C298" s="45">
        <v>21</v>
      </c>
      <c r="D298" s="47">
        <f>VLOOKUP(Добавить18[[#This Row],[Товар]],Итоговая!$G$1:$H$14,2,0)*Добавить18[[#This Row],[количество_единиц_товара]]</f>
        <v>65100</v>
      </c>
      <c r="E298" s="45" t="s">
        <v>70</v>
      </c>
      <c r="F298" s="45" t="s">
        <v>94</v>
      </c>
    </row>
    <row r="299" spans="1:6" x14ac:dyDescent="0.3">
      <c r="A299" s="44">
        <v>43039.425224814811</v>
      </c>
      <c r="B299" s="45" t="s">
        <v>52</v>
      </c>
      <c r="C299" s="45">
        <v>23</v>
      </c>
      <c r="D299" s="47">
        <f>VLOOKUP(Добавить18[[#This Row],[Товар]],Итоговая!$G$1:$H$14,2,0)*Добавить18[[#This Row],[количество_единиц_товара]]</f>
        <v>15640</v>
      </c>
      <c r="E299" s="45" t="s">
        <v>70</v>
      </c>
      <c r="F299" s="45" t="s">
        <v>94</v>
      </c>
    </row>
    <row r="300" spans="1:6" x14ac:dyDescent="0.3">
      <c r="A300" s="44">
        <v>43052.640267511575</v>
      </c>
      <c r="B300" s="45" t="s">
        <v>58</v>
      </c>
      <c r="C300" s="45">
        <v>18</v>
      </c>
      <c r="D300" s="47">
        <f>VLOOKUP(Добавить18[[#This Row],[Товар]],Итоговая!$G$1:$H$14,2,0)*Добавить18[[#This Row],[количество_единиц_товара]]</f>
        <v>80190</v>
      </c>
      <c r="E300" s="45" t="s">
        <v>70</v>
      </c>
      <c r="F300" s="45" t="s">
        <v>94</v>
      </c>
    </row>
    <row r="301" spans="1:6" x14ac:dyDescent="0.3">
      <c r="A301" s="44">
        <v>43055.255951377316</v>
      </c>
      <c r="B301" s="45" t="s">
        <v>55</v>
      </c>
      <c r="C301" s="45">
        <v>32</v>
      </c>
      <c r="D301" s="47">
        <f>VLOOKUP(Добавить18[[#This Row],[Товар]],Итоговая!$G$1:$H$14,2,0)*Добавить18[[#This Row],[количество_единиц_товара]]</f>
        <v>144000</v>
      </c>
      <c r="E301" s="45" t="s">
        <v>70</v>
      </c>
      <c r="F301" s="45" t="s">
        <v>94</v>
      </c>
    </row>
    <row r="302" spans="1:6" x14ac:dyDescent="0.3">
      <c r="A302" s="44">
        <v>43058.041558703706</v>
      </c>
      <c r="B302" s="45" t="s">
        <v>59</v>
      </c>
      <c r="C302" s="45">
        <v>30</v>
      </c>
      <c r="D302" s="47">
        <f>VLOOKUP(Добавить18[[#This Row],[Товар]],Итоговая!$G$1:$H$14,2,0)*Добавить18[[#This Row],[количество_единиц_товара]]</f>
        <v>60000</v>
      </c>
      <c r="E302" s="45" t="s">
        <v>70</v>
      </c>
      <c r="F302" s="45" t="s">
        <v>94</v>
      </c>
    </row>
    <row r="303" spans="1:6" x14ac:dyDescent="0.3">
      <c r="A303" s="44">
        <v>43064.780008668982</v>
      </c>
      <c r="B303" s="45" t="s">
        <v>58</v>
      </c>
      <c r="C303" s="45">
        <v>14</v>
      </c>
      <c r="D303" s="47">
        <f>VLOOKUP(Добавить18[[#This Row],[Товар]],Итоговая!$G$1:$H$14,2,0)*Добавить18[[#This Row],[количество_единиц_товара]]</f>
        <v>62370</v>
      </c>
      <c r="E303" s="45" t="s">
        <v>69</v>
      </c>
      <c r="F303" s="45" t="s">
        <v>94</v>
      </c>
    </row>
    <row r="304" spans="1:6" x14ac:dyDescent="0.3">
      <c r="A304" s="44">
        <v>43078.337569571762</v>
      </c>
      <c r="B304" s="45" t="s">
        <v>59</v>
      </c>
      <c r="C304" s="45">
        <v>20</v>
      </c>
      <c r="D304" s="47">
        <f>VLOOKUP(Добавить18[[#This Row],[Товар]],Итоговая!$G$1:$H$14,2,0)*Добавить18[[#This Row],[количество_единиц_товара]]</f>
        <v>40000</v>
      </c>
      <c r="E304" s="45" t="s">
        <v>71</v>
      </c>
      <c r="F304" s="45" t="s">
        <v>94</v>
      </c>
    </row>
    <row r="305" spans="1:6" x14ac:dyDescent="0.3">
      <c r="A305" s="44">
        <v>43087.763155347224</v>
      </c>
      <c r="B305" s="45" t="s">
        <v>54</v>
      </c>
      <c r="C305" s="45">
        <v>36</v>
      </c>
      <c r="D305" s="47">
        <f>VLOOKUP(Добавить18[[#This Row],[Товар]],Итоговая!$G$1:$H$14,2,0)*Добавить18[[#This Row],[количество_единиц_товара]]</f>
        <v>88200</v>
      </c>
      <c r="E305" s="45" t="s">
        <v>70</v>
      </c>
      <c r="F305" s="45" t="s">
        <v>94</v>
      </c>
    </row>
    <row r="306" spans="1:6" x14ac:dyDescent="0.3">
      <c r="A306" s="44">
        <v>43098.951082650463</v>
      </c>
      <c r="B306" s="45" t="s">
        <v>58</v>
      </c>
      <c r="C306" s="45">
        <v>31</v>
      </c>
      <c r="D306" s="47">
        <f>VLOOKUP(Добавить18[[#This Row],[Товар]],Итоговая!$G$1:$H$14,2,0)*Добавить18[[#This Row],[количество_единиц_товара]]</f>
        <v>138105</v>
      </c>
      <c r="E306" s="45" t="s">
        <v>70</v>
      </c>
      <c r="F306" s="45" t="s">
        <v>94</v>
      </c>
    </row>
    <row r="307" spans="1:6" x14ac:dyDescent="0.3">
      <c r="A307" s="44">
        <v>43099.42799689815</v>
      </c>
      <c r="B307" s="45" t="s">
        <v>59</v>
      </c>
      <c r="C307" s="45">
        <v>31</v>
      </c>
      <c r="D307" s="47">
        <f>VLOOKUP(Добавить18[[#This Row],[Товар]],Итоговая!$G$1:$H$14,2,0)*Добавить18[[#This Row],[количество_единиц_товара]]</f>
        <v>62000</v>
      </c>
      <c r="E307" s="45" t="s">
        <v>70</v>
      </c>
      <c r="F307" s="45" t="s">
        <v>94</v>
      </c>
    </row>
    <row r="308" spans="1:6" x14ac:dyDescent="0.3">
      <c r="A308" s="44">
        <v>43107.713158171297</v>
      </c>
      <c r="B308" s="45" t="s">
        <v>59</v>
      </c>
      <c r="C308" s="45">
        <v>27</v>
      </c>
      <c r="D308" s="47">
        <f>VLOOKUP(Добавить18[[#This Row],[Товар]],Итоговая!$G$1:$H$14,2,0)*Добавить18[[#This Row],[количество_единиц_товара]]</f>
        <v>54000</v>
      </c>
      <c r="E308" s="45" t="s">
        <v>70</v>
      </c>
      <c r="F308" s="45" t="s">
        <v>94</v>
      </c>
    </row>
    <row r="309" spans="1:6" x14ac:dyDescent="0.3">
      <c r="A309" s="44">
        <v>43122.395711874997</v>
      </c>
      <c r="B309" s="45" t="s">
        <v>55</v>
      </c>
      <c r="C309" s="45">
        <v>20</v>
      </c>
      <c r="D309" s="47">
        <f>VLOOKUP(Добавить18[[#This Row],[Товар]],Итоговая!$G$1:$H$14,2,0)*Добавить18[[#This Row],[количество_единиц_товара]]</f>
        <v>90000</v>
      </c>
      <c r="E309" s="45" t="s">
        <v>69</v>
      </c>
      <c r="F309" s="45" t="s">
        <v>94</v>
      </c>
    </row>
    <row r="310" spans="1:6" x14ac:dyDescent="0.3">
      <c r="A310" s="44">
        <v>43124.114366111113</v>
      </c>
      <c r="B310" s="45" t="s">
        <v>59</v>
      </c>
      <c r="C310" s="45">
        <v>22</v>
      </c>
      <c r="D310" s="47">
        <f>VLOOKUP(Добавить18[[#This Row],[Товар]],Итоговая!$G$1:$H$14,2,0)*Добавить18[[#This Row],[количество_единиц_товара]]</f>
        <v>44000</v>
      </c>
      <c r="E310" s="45" t="s">
        <v>71</v>
      </c>
      <c r="F310" s="45" t="s">
        <v>94</v>
      </c>
    </row>
    <row r="311" spans="1:6" x14ac:dyDescent="0.3">
      <c r="A311" s="44">
        <v>43135.537289409724</v>
      </c>
      <c r="B311" s="45" t="s">
        <v>56</v>
      </c>
      <c r="C311" s="45">
        <v>10</v>
      </c>
      <c r="D311" s="47">
        <f>VLOOKUP(Добавить18[[#This Row],[Товар]],Итоговая!$G$1:$H$14,2,0)*Добавить18[[#This Row],[количество_единиц_товара]]</f>
        <v>16000</v>
      </c>
      <c r="E311" s="45" t="s">
        <v>70</v>
      </c>
      <c r="F311" s="45" t="s">
        <v>94</v>
      </c>
    </row>
    <row r="312" spans="1:6" x14ac:dyDescent="0.3">
      <c r="A312" s="44">
        <v>43135.589923530089</v>
      </c>
      <c r="B312" s="45" t="s">
        <v>55</v>
      </c>
      <c r="C312" s="45">
        <v>21</v>
      </c>
      <c r="D312" s="47">
        <f>VLOOKUP(Добавить18[[#This Row],[Товар]],Итоговая!$G$1:$H$14,2,0)*Добавить18[[#This Row],[количество_единиц_товара]]</f>
        <v>94500</v>
      </c>
      <c r="E312" s="45" t="s">
        <v>71</v>
      </c>
      <c r="F312" s="45" t="s">
        <v>94</v>
      </c>
    </row>
    <row r="313" spans="1:6" x14ac:dyDescent="0.3">
      <c r="A313" s="44">
        <v>43155.143971956022</v>
      </c>
      <c r="B313" s="45" t="s">
        <v>56</v>
      </c>
      <c r="C313" s="45">
        <v>11</v>
      </c>
      <c r="D313" s="47">
        <f>VLOOKUP(Добавить18[[#This Row],[Товар]],Итоговая!$G$1:$H$14,2,0)*Добавить18[[#This Row],[количество_единиц_товара]]</f>
        <v>17600</v>
      </c>
      <c r="E313" s="45" t="s">
        <v>69</v>
      </c>
      <c r="F313" s="45" t="s">
        <v>94</v>
      </c>
    </row>
    <row r="314" spans="1:6" x14ac:dyDescent="0.3">
      <c r="A314" s="44">
        <v>43156.488717476852</v>
      </c>
      <c r="B314" s="45" t="s">
        <v>56</v>
      </c>
      <c r="C314" s="45">
        <v>10</v>
      </c>
      <c r="D314" s="47">
        <f>VLOOKUP(Добавить18[[#This Row],[Товар]],Итоговая!$G$1:$H$14,2,0)*Добавить18[[#This Row],[количество_единиц_товара]]</f>
        <v>16000</v>
      </c>
      <c r="E314" s="45" t="s">
        <v>70</v>
      </c>
      <c r="F314" s="45" t="s">
        <v>94</v>
      </c>
    </row>
    <row r="315" spans="1:6" x14ac:dyDescent="0.3">
      <c r="A315" s="44">
        <v>43162.09049480324</v>
      </c>
      <c r="B315" s="45" t="s">
        <v>60</v>
      </c>
      <c r="C315" s="45">
        <v>24</v>
      </c>
      <c r="D315" s="47">
        <f>VLOOKUP(Добавить18[[#This Row],[Товар]],Итоговая!$G$1:$H$14,2,0)*Добавить18[[#This Row],[количество_единиц_товара]]</f>
        <v>138936</v>
      </c>
      <c r="E315" s="45" t="s">
        <v>70</v>
      </c>
      <c r="F315" s="45" t="s">
        <v>94</v>
      </c>
    </row>
    <row r="316" spans="1:6" x14ac:dyDescent="0.3">
      <c r="A316" s="44">
        <v>43189.794962199077</v>
      </c>
      <c r="B316" s="45" t="s">
        <v>50</v>
      </c>
      <c r="C316" s="45">
        <v>12</v>
      </c>
      <c r="D316" s="47">
        <f>VLOOKUP(Добавить18[[#This Row],[Товар]],Итоговая!$G$1:$H$14,2,0)*Добавить18[[#This Row],[количество_единиц_товара]]</f>
        <v>26400</v>
      </c>
      <c r="E316" s="45" t="s">
        <v>70</v>
      </c>
      <c r="F316" s="45" t="s">
        <v>94</v>
      </c>
    </row>
    <row r="317" spans="1:6" x14ac:dyDescent="0.3">
      <c r="A317" s="44">
        <v>43194.56056096065</v>
      </c>
      <c r="B317" s="45" t="s">
        <v>56</v>
      </c>
      <c r="C317" s="45">
        <v>35</v>
      </c>
      <c r="D317" s="47">
        <f>VLOOKUP(Добавить18[[#This Row],[Товар]],Итоговая!$G$1:$H$14,2,0)*Добавить18[[#This Row],[количество_единиц_товара]]</f>
        <v>56000</v>
      </c>
      <c r="E317" s="45" t="s">
        <v>70</v>
      </c>
      <c r="F317" s="45" t="s">
        <v>94</v>
      </c>
    </row>
    <row r="318" spans="1:6" x14ac:dyDescent="0.3">
      <c r="A318" s="44">
        <v>43195.481773472224</v>
      </c>
      <c r="B318" s="45" t="s">
        <v>55</v>
      </c>
      <c r="C318" s="45">
        <v>33</v>
      </c>
      <c r="D318" s="47">
        <f>VLOOKUP(Добавить18[[#This Row],[Товар]],Итоговая!$G$1:$H$14,2,0)*Добавить18[[#This Row],[количество_единиц_товара]]</f>
        <v>148500</v>
      </c>
      <c r="E318" s="45" t="s">
        <v>70</v>
      </c>
      <c r="F318" s="45" t="s">
        <v>94</v>
      </c>
    </row>
    <row r="319" spans="1:6" x14ac:dyDescent="0.3">
      <c r="A319" s="44">
        <v>43199.222573865743</v>
      </c>
      <c r="B319" s="45" t="s">
        <v>51</v>
      </c>
      <c r="C319" s="45">
        <v>28</v>
      </c>
      <c r="D319" s="47">
        <f>VLOOKUP(Добавить18[[#This Row],[Товар]],Итоговая!$G$1:$H$14,2,0)*Добавить18[[#This Row],[количество_единиц_товара]]</f>
        <v>71680</v>
      </c>
      <c r="E319" s="45" t="s">
        <v>69</v>
      </c>
      <c r="F319" s="45" t="s">
        <v>94</v>
      </c>
    </row>
    <row r="320" spans="1:6" x14ac:dyDescent="0.3">
      <c r="A320" s="44">
        <v>43212.240397499998</v>
      </c>
      <c r="B320" s="45" t="s">
        <v>51</v>
      </c>
      <c r="C320" s="45">
        <v>29</v>
      </c>
      <c r="D320" s="47">
        <f>VLOOKUP(Добавить18[[#This Row],[Товар]],Итоговая!$G$1:$H$14,2,0)*Добавить18[[#This Row],[количество_единиц_товара]]</f>
        <v>74240</v>
      </c>
      <c r="E320" s="45" t="s">
        <v>69</v>
      </c>
      <c r="F320" s="45" t="s">
        <v>94</v>
      </c>
    </row>
    <row r="321" spans="1:6" x14ac:dyDescent="0.3">
      <c r="A321" s="44">
        <v>43228.962223622686</v>
      </c>
      <c r="B321" s="45" t="s">
        <v>55</v>
      </c>
      <c r="C321" s="45">
        <v>19</v>
      </c>
      <c r="D321" s="47">
        <f>VLOOKUP(Добавить18[[#This Row],[Товар]],Итоговая!$G$1:$H$14,2,0)*Добавить18[[#This Row],[количество_единиц_товара]]</f>
        <v>85500</v>
      </c>
      <c r="E321" s="45" t="s">
        <v>70</v>
      </c>
      <c r="F321" s="45" t="s">
        <v>94</v>
      </c>
    </row>
    <row r="322" spans="1:6" x14ac:dyDescent="0.3">
      <c r="A322" s="44">
        <v>43231.192809097221</v>
      </c>
      <c r="B322" s="45" t="s">
        <v>51</v>
      </c>
      <c r="C322" s="45">
        <v>16</v>
      </c>
      <c r="D322" s="47">
        <f>VLOOKUP(Добавить18[[#This Row],[Товар]],Итоговая!$G$1:$H$14,2,0)*Добавить18[[#This Row],[количество_единиц_товара]]</f>
        <v>40960</v>
      </c>
      <c r="E322" s="45" t="s">
        <v>69</v>
      </c>
      <c r="F322" s="45" t="s">
        <v>94</v>
      </c>
    </row>
    <row r="323" spans="1:6" x14ac:dyDescent="0.3">
      <c r="A323" s="44">
        <v>43238.897952199077</v>
      </c>
      <c r="B323" s="45" t="s">
        <v>58</v>
      </c>
      <c r="C323" s="45">
        <v>21</v>
      </c>
      <c r="D323" s="47">
        <f>VLOOKUP(Добавить18[[#This Row],[Товар]],Итоговая!$G$1:$H$14,2,0)*Добавить18[[#This Row],[количество_единиц_товара]]</f>
        <v>93555</v>
      </c>
      <c r="E323" s="45" t="s">
        <v>70</v>
      </c>
      <c r="F323" s="45" t="s">
        <v>94</v>
      </c>
    </row>
    <row r="324" spans="1:6" x14ac:dyDescent="0.3">
      <c r="A324" s="44">
        <v>43250.33770246528</v>
      </c>
      <c r="B324" s="45" t="s">
        <v>60</v>
      </c>
      <c r="C324" s="45">
        <v>38</v>
      </c>
      <c r="D324" s="47">
        <f>VLOOKUP(Добавить18[[#This Row],[Товар]],Итоговая!$G$1:$H$14,2,0)*Добавить18[[#This Row],[количество_единиц_товара]]</f>
        <v>219982</v>
      </c>
      <c r="E324" s="45" t="s">
        <v>70</v>
      </c>
      <c r="F324" s="45" t="s">
        <v>94</v>
      </c>
    </row>
    <row r="325" spans="1:6" x14ac:dyDescent="0.3">
      <c r="A325" s="44">
        <v>43250.590500578706</v>
      </c>
      <c r="B325" s="45" t="s">
        <v>49</v>
      </c>
      <c r="C325" s="45">
        <v>25</v>
      </c>
      <c r="D325" s="47">
        <f>VLOOKUP(Добавить18[[#This Row],[Товар]],Итоговая!$G$1:$H$14,2,0)*Добавить18[[#This Row],[количество_единиц_товара]]</f>
        <v>77500</v>
      </c>
      <c r="E325" s="45" t="s">
        <v>69</v>
      </c>
      <c r="F325" s="45" t="s">
        <v>94</v>
      </c>
    </row>
    <row r="326" spans="1:6" x14ac:dyDescent="0.3">
      <c r="A326" s="44">
        <v>43252.510815057867</v>
      </c>
      <c r="B326" s="45" t="s">
        <v>54</v>
      </c>
      <c r="C326" s="45">
        <v>35</v>
      </c>
      <c r="D326" s="47">
        <f>VLOOKUP(Добавить18[[#This Row],[Товар]],Итоговая!$G$1:$H$14,2,0)*Добавить18[[#This Row],[количество_единиц_товара]]</f>
        <v>85750</v>
      </c>
      <c r="E326" s="45" t="s">
        <v>69</v>
      </c>
      <c r="F326" s="45" t="s">
        <v>94</v>
      </c>
    </row>
    <row r="327" spans="1:6" x14ac:dyDescent="0.3">
      <c r="A327" s="44">
        <v>43272.866184571758</v>
      </c>
      <c r="B327" s="45" t="s">
        <v>50</v>
      </c>
      <c r="C327" s="45">
        <v>22</v>
      </c>
      <c r="D327" s="47">
        <f>VLOOKUP(Добавить18[[#This Row],[Товар]],Итоговая!$G$1:$H$14,2,0)*Добавить18[[#This Row],[количество_единиц_товара]]</f>
        <v>48400</v>
      </c>
      <c r="E327" s="45" t="s">
        <v>70</v>
      </c>
      <c r="F327" s="45" t="s">
        <v>94</v>
      </c>
    </row>
    <row r="328" spans="1:6" x14ac:dyDescent="0.3">
      <c r="A328" s="44">
        <v>43279.964496446759</v>
      </c>
      <c r="B328" s="45" t="s">
        <v>54</v>
      </c>
      <c r="C328" s="45">
        <v>26</v>
      </c>
      <c r="D328" s="47">
        <f>VLOOKUP(Добавить18[[#This Row],[Товар]],Итоговая!$G$1:$H$14,2,0)*Добавить18[[#This Row],[количество_единиц_товара]]</f>
        <v>63700</v>
      </c>
      <c r="E328" s="45" t="s">
        <v>71</v>
      </c>
      <c r="F328" s="45" t="s">
        <v>94</v>
      </c>
    </row>
    <row r="329" spans="1:6" x14ac:dyDescent="0.3">
      <c r="A329" s="44">
        <v>43290.501882303244</v>
      </c>
      <c r="B329" s="45" t="s">
        <v>61</v>
      </c>
      <c r="C329" s="45">
        <v>14</v>
      </c>
      <c r="D329" s="47">
        <f>VLOOKUP(Добавить18[[#This Row],[Товар]],Итоговая!$G$1:$H$14,2,0)*Добавить18[[#This Row],[количество_единиц_товара]]</f>
        <v>48580</v>
      </c>
      <c r="E329" s="45" t="s">
        <v>70</v>
      </c>
      <c r="F329" s="45" t="s">
        <v>94</v>
      </c>
    </row>
    <row r="330" spans="1:6" x14ac:dyDescent="0.3">
      <c r="A330" s="44">
        <v>43293.887583009258</v>
      </c>
      <c r="B330" s="45" t="s">
        <v>50</v>
      </c>
      <c r="C330" s="45">
        <v>11</v>
      </c>
      <c r="D330" s="47">
        <f>VLOOKUP(Добавить18[[#This Row],[Товар]],Итоговая!$G$1:$H$14,2,0)*Добавить18[[#This Row],[количество_единиц_товара]]</f>
        <v>24200</v>
      </c>
      <c r="E330" s="45" t="s">
        <v>69</v>
      </c>
      <c r="F330" s="45" t="s">
        <v>94</v>
      </c>
    </row>
    <row r="331" spans="1:6" x14ac:dyDescent="0.3">
      <c r="A331" s="44">
        <v>43296.650509317129</v>
      </c>
      <c r="B331" s="45" t="s">
        <v>59</v>
      </c>
      <c r="C331" s="45">
        <v>21</v>
      </c>
      <c r="D331" s="47">
        <f>VLOOKUP(Добавить18[[#This Row],[Товар]],Итоговая!$G$1:$H$14,2,0)*Добавить18[[#This Row],[количество_единиц_товара]]</f>
        <v>42000</v>
      </c>
      <c r="E331" s="45" t="s">
        <v>71</v>
      </c>
      <c r="F331" s="45" t="s">
        <v>94</v>
      </c>
    </row>
    <row r="332" spans="1:6" x14ac:dyDescent="0.3">
      <c r="A332" s="44">
        <v>43314.23319767361</v>
      </c>
      <c r="B332" s="45" t="s">
        <v>58</v>
      </c>
      <c r="C332" s="45">
        <v>14</v>
      </c>
      <c r="D332" s="47">
        <f>VLOOKUP(Добавить18[[#This Row],[Товар]],Итоговая!$G$1:$H$14,2,0)*Добавить18[[#This Row],[количество_единиц_товара]]</f>
        <v>62370</v>
      </c>
      <c r="E332" s="45" t="s">
        <v>70</v>
      </c>
      <c r="F332" s="45" t="s">
        <v>94</v>
      </c>
    </row>
    <row r="333" spans="1:6" x14ac:dyDescent="0.3">
      <c r="A333" s="44">
        <v>43324.521243657407</v>
      </c>
      <c r="B333" s="45" t="s">
        <v>61</v>
      </c>
      <c r="C333" s="45">
        <v>27</v>
      </c>
      <c r="D333" s="47">
        <f>VLOOKUP(Добавить18[[#This Row],[Товар]],Итоговая!$G$1:$H$14,2,0)*Добавить18[[#This Row],[количество_единиц_товара]]</f>
        <v>93690</v>
      </c>
      <c r="E333" s="45" t="s">
        <v>71</v>
      </c>
      <c r="F333" s="45" t="s">
        <v>94</v>
      </c>
    </row>
    <row r="334" spans="1:6" x14ac:dyDescent="0.3">
      <c r="A334" s="44">
        <v>43326.432199108793</v>
      </c>
      <c r="B334" s="45" t="s">
        <v>61</v>
      </c>
      <c r="C334" s="45">
        <v>23</v>
      </c>
      <c r="D334" s="47">
        <f>VLOOKUP(Добавить18[[#This Row],[Товар]],Итоговая!$G$1:$H$14,2,0)*Добавить18[[#This Row],[количество_единиц_товара]]</f>
        <v>79810</v>
      </c>
      <c r="E334" s="45" t="s">
        <v>71</v>
      </c>
      <c r="F334" s="45" t="s">
        <v>94</v>
      </c>
    </row>
    <row r="335" spans="1:6" x14ac:dyDescent="0.3">
      <c r="A335" s="44">
        <v>43338.246214166669</v>
      </c>
      <c r="B335" s="45" t="s">
        <v>59</v>
      </c>
      <c r="C335" s="45">
        <v>21</v>
      </c>
      <c r="D335" s="47">
        <f>VLOOKUP(Добавить18[[#This Row],[Товар]],Итоговая!$G$1:$H$14,2,0)*Добавить18[[#This Row],[количество_единиц_товара]]</f>
        <v>42000</v>
      </c>
      <c r="E335" s="45" t="s">
        <v>69</v>
      </c>
      <c r="F335" s="45" t="s">
        <v>94</v>
      </c>
    </row>
    <row r="336" spans="1:6" x14ac:dyDescent="0.3">
      <c r="A336" s="44">
        <v>43342.19654730324</v>
      </c>
      <c r="B336" s="45" t="s">
        <v>50</v>
      </c>
      <c r="C336" s="45">
        <v>23</v>
      </c>
      <c r="D336" s="47">
        <f>VLOOKUP(Добавить18[[#This Row],[Товар]],Итоговая!$G$1:$H$14,2,0)*Добавить18[[#This Row],[количество_единиц_товара]]</f>
        <v>50600</v>
      </c>
      <c r="E336" s="45" t="s">
        <v>70</v>
      </c>
      <c r="F336" s="45" t="s">
        <v>94</v>
      </c>
    </row>
    <row r="337" spans="1:6" x14ac:dyDescent="0.3">
      <c r="A337" s="44">
        <v>43351.671555833331</v>
      </c>
      <c r="B337" s="45" t="s">
        <v>50</v>
      </c>
      <c r="C337" s="45">
        <v>17</v>
      </c>
      <c r="D337" s="47">
        <f>VLOOKUP(Добавить18[[#This Row],[Товар]],Итоговая!$G$1:$H$14,2,0)*Добавить18[[#This Row],[количество_единиц_товара]]</f>
        <v>37400</v>
      </c>
      <c r="E337" s="45" t="s">
        <v>69</v>
      </c>
      <c r="F337" s="45" t="s">
        <v>94</v>
      </c>
    </row>
    <row r="338" spans="1:6" x14ac:dyDescent="0.3">
      <c r="A338" s="44">
        <v>43363.973410706021</v>
      </c>
      <c r="B338" s="45" t="s">
        <v>51</v>
      </c>
      <c r="C338" s="45">
        <v>12</v>
      </c>
      <c r="D338" s="47">
        <f>VLOOKUP(Добавить18[[#This Row],[Товар]],Итоговая!$G$1:$H$14,2,0)*Добавить18[[#This Row],[количество_единиц_товара]]</f>
        <v>30720</v>
      </c>
      <c r="E338" s="45" t="s">
        <v>70</v>
      </c>
      <c r="F338" s="45" t="s">
        <v>94</v>
      </c>
    </row>
    <row r="339" spans="1:6" x14ac:dyDescent="0.3">
      <c r="A339" s="44">
        <v>43379.457328414355</v>
      </c>
      <c r="B339" s="45" t="s">
        <v>52</v>
      </c>
      <c r="C339" s="45">
        <v>17</v>
      </c>
      <c r="D339" s="47">
        <f>VLOOKUP(Добавить18[[#This Row],[Товар]],Итоговая!$G$1:$H$14,2,0)*Добавить18[[#This Row],[количество_единиц_товара]]</f>
        <v>11560</v>
      </c>
      <c r="E339" s="45" t="s">
        <v>69</v>
      </c>
      <c r="F339" s="45" t="s">
        <v>94</v>
      </c>
    </row>
    <row r="340" spans="1:6" x14ac:dyDescent="0.3">
      <c r="A340" s="44">
        <v>43383.345915590275</v>
      </c>
      <c r="B340" s="45" t="s">
        <v>60</v>
      </c>
      <c r="C340" s="45">
        <v>37</v>
      </c>
      <c r="D340" s="47">
        <f>VLOOKUP(Добавить18[[#This Row],[Товар]],Итоговая!$G$1:$H$14,2,0)*Добавить18[[#This Row],[количество_единиц_товара]]</f>
        <v>214193</v>
      </c>
      <c r="E340" s="45" t="s">
        <v>69</v>
      </c>
      <c r="F340" s="45" t="s">
        <v>94</v>
      </c>
    </row>
    <row r="341" spans="1:6" x14ac:dyDescent="0.3">
      <c r="A341" s="44">
        <v>43391.824987812499</v>
      </c>
      <c r="B341" s="45" t="s">
        <v>58</v>
      </c>
      <c r="C341" s="45">
        <v>21</v>
      </c>
      <c r="D341" s="47">
        <f>VLOOKUP(Добавить18[[#This Row],[Товар]],Итоговая!$G$1:$H$14,2,0)*Добавить18[[#This Row],[количество_единиц_товара]]</f>
        <v>93555</v>
      </c>
      <c r="E341" s="45" t="s">
        <v>69</v>
      </c>
      <c r="F341" s="45" t="s">
        <v>94</v>
      </c>
    </row>
    <row r="342" spans="1:6" x14ac:dyDescent="0.3">
      <c r="A342" s="44">
        <v>43396.984761712964</v>
      </c>
      <c r="B342" s="45" t="s">
        <v>52</v>
      </c>
      <c r="C342" s="45">
        <v>39</v>
      </c>
      <c r="D342" s="47">
        <f>VLOOKUP(Добавить18[[#This Row],[Товар]],Итоговая!$G$1:$H$14,2,0)*Добавить18[[#This Row],[количество_единиц_товара]]</f>
        <v>26520</v>
      </c>
      <c r="E342" s="45" t="s">
        <v>69</v>
      </c>
      <c r="F342" s="45" t="s">
        <v>94</v>
      </c>
    </row>
    <row r="343" spans="1:6" x14ac:dyDescent="0.3">
      <c r="A343" s="44">
        <v>43408.647405127318</v>
      </c>
      <c r="B343" s="45" t="s">
        <v>59</v>
      </c>
      <c r="C343" s="45">
        <v>12</v>
      </c>
      <c r="D343" s="47">
        <f>VLOOKUP(Добавить18[[#This Row],[Товар]],Итоговая!$G$1:$H$14,2,0)*Добавить18[[#This Row],[количество_единиц_товара]]</f>
        <v>24000</v>
      </c>
      <c r="E343" s="45" t="s">
        <v>70</v>
      </c>
      <c r="F343" s="45" t="s">
        <v>94</v>
      </c>
    </row>
    <row r="344" spans="1:6" x14ac:dyDescent="0.3">
      <c r="A344" s="44">
        <v>43412.747276909722</v>
      </c>
      <c r="B344" s="45" t="s">
        <v>51</v>
      </c>
      <c r="C344" s="45">
        <v>21</v>
      </c>
      <c r="D344" s="47">
        <f>VLOOKUP(Добавить18[[#This Row],[Товар]],Итоговая!$G$1:$H$14,2,0)*Добавить18[[#This Row],[количество_единиц_товара]]</f>
        <v>53760</v>
      </c>
      <c r="E344" s="45" t="s">
        <v>71</v>
      </c>
      <c r="F344" s="45" t="s">
        <v>94</v>
      </c>
    </row>
    <row r="345" spans="1:6" x14ac:dyDescent="0.3">
      <c r="A345" s="44">
        <v>43423.802943738425</v>
      </c>
      <c r="B345" s="45" t="s">
        <v>51</v>
      </c>
      <c r="C345" s="45">
        <v>37</v>
      </c>
      <c r="D345" s="47">
        <f>VLOOKUP(Добавить18[[#This Row],[Товар]],Итоговая!$G$1:$H$14,2,0)*Добавить18[[#This Row],[количество_единиц_товара]]</f>
        <v>94720</v>
      </c>
      <c r="E345" s="45" t="s">
        <v>71</v>
      </c>
      <c r="F345" s="45" t="s">
        <v>94</v>
      </c>
    </row>
    <row r="346" spans="1:6" x14ac:dyDescent="0.3">
      <c r="A346" s="44">
        <v>43457.203018842592</v>
      </c>
      <c r="B346" s="45" t="s">
        <v>51</v>
      </c>
      <c r="C346" s="45">
        <v>25</v>
      </c>
      <c r="D346" s="47">
        <f>VLOOKUP(Добавить18[[#This Row],[Товар]],Итоговая!$G$1:$H$14,2,0)*Добавить18[[#This Row],[количество_единиц_товара]]</f>
        <v>64000</v>
      </c>
      <c r="E346" s="45" t="s">
        <v>71</v>
      </c>
      <c r="F346" s="45" t="s">
        <v>94</v>
      </c>
    </row>
    <row r="347" spans="1:6" x14ac:dyDescent="0.3">
      <c r="A347" s="44">
        <v>43466.824584374997</v>
      </c>
      <c r="B347" s="45" t="s">
        <v>56</v>
      </c>
      <c r="C347" s="45">
        <v>24</v>
      </c>
      <c r="D347" s="47">
        <f>VLOOKUP(Добавить18[[#This Row],[Товар]],Итоговая!$G$1:$H$14,2,0)*Добавить18[[#This Row],[количество_единиц_товара]]</f>
        <v>38400</v>
      </c>
      <c r="E347" s="45" t="s">
        <v>70</v>
      </c>
      <c r="F347" s="45" t="s">
        <v>94</v>
      </c>
    </row>
    <row r="348" spans="1:6" x14ac:dyDescent="0.3">
      <c r="A348" s="44">
        <v>43472.749503333333</v>
      </c>
      <c r="B348" s="45" t="s">
        <v>60</v>
      </c>
      <c r="C348" s="45">
        <v>30</v>
      </c>
      <c r="D348" s="47">
        <f>VLOOKUP(Добавить18[[#This Row],[Товар]],Итоговая!$G$1:$H$14,2,0)*Добавить18[[#This Row],[количество_единиц_товара]]</f>
        <v>173670</v>
      </c>
      <c r="E348" s="45" t="s">
        <v>70</v>
      </c>
      <c r="F348" s="45" t="s">
        <v>94</v>
      </c>
    </row>
    <row r="349" spans="1:6" x14ac:dyDescent="0.3">
      <c r="A349" s="44">
        <v>43496.826050706019</v>
      </c>
      <c r="B349" s="45" t="s">
        <v>60</v>
      </c>
      <c r="C349" s="45">
        <v>23</v>
      </c>
      <c r="D349" s="47">
        <f>VLOOKUP(Добавить18[[#This Row],[Товар]],Итоговая!$G$1:$H$14,2,0)*Добавить18[[#This Row],[количество_единиц_товара]]</f>
        <v>133147</v>
      </c>
      <c r="E349" s="45" t="s">
        <v>70</v>
      </c>
      <c r="F349" s="45" t="s">
        <v>94</v>
      </c>
    </row>
    <row r="350" spans="1:6" x14ac:dyDescent="0.3">
      <c r="A350" s="44">
        <v>43504.536149583335</v>
      </c>
      <c r="B350" s="45" t="s">
        <v>49</v>
      </c>
      <c r="C350" s="45">
        <v>16</v>
      </c>
      <c r="D350" s="47">
        <f>VLOOKUP(Добавить18[[#This Row],[Товар]],Итоговая!$G$1:$H$14,2,0)*Добавить18[[#This Row],[количество_единиц_товара]]</f>
        <v>49600</v>
      </c>
      <c r="E350" s="45" t="s">
        <v>70</v>
      </c>
      <c r="F350" s="45" t="s">
        <v>94</v>
      </c>
    </row>
    <row r="351" spans="1:6" x14ac:dyDescent="0.3">
      <c r="A351" s="44">
        <v>43527.204560706021</v>
      </c>
      <c r="B351" s="45" t="s">
        <v>56</v>
      </c>
      <c r="C351" s="45">
        <v>19</v>
      </c>
      <c r="D351" s="47">
        <f>VLOOKUP(Добавить18[[#This Row],[Товар]],Итоговая!$G$1:$H$14,2,0)*Добавить18[[#This Row],[количество_единиц_товара]]</f>
        <v>30400</v>
      </c>
      <c r="E351" s="45" t="s">
        <v>70</v>
      </c>
      <c r="F351" s="45" t="s">
        <v>94</v>
      </c>
    </row>
    <row r="352" spans="1:6" x14ac:dyDescent="0.3">
      <c r="A352" s="44">
        <v>43537.717709375</v>
      </c>
      <c r="B352" s="45" t="s">
        <v>52</v>
      </c>
      <c r="C352" s="45">
        <v>26</v>
      </c>
      <c r="D352" s="47">
        <f>VLOOKUP(Добавить18[[#This Row],[Товар]],Итоговая!$G$1:$H$14,2,0)*Добавить18[[#This Row],[количество_единиц_товара]]</f>
        <v>17680</v>
      </c>
      <c r="E352" s="45" t="s">
        <v>70</v>
      </c>
      <c r="F352" s="45" t="s">
        <v>94</v>
      </c>
    </row>
    <row r="353" spans="1:6" x14ac:dyDescent="0.3">
      <c r="A353" s="44">
        <v>43545.756617824074</v>
      </c>
      <c r="B353" s="45" t="s">
        <v>59</v>
      </c>
      <c r="C353" s="45">
        <v>29</v>
      </c>
      <c r="D353" s="47">
        <f>VLOOKUP(Добавить18[[#This Row],[Товар]],Итоговая!$G$1:$H$14,2,0)*Добавить18[[#This Row],[количество_единиц_товара]]</f>
        <v>58000</v>
      </c>
      <c r="E353" s="45" t="s">
        <v>69</v>
      </c>
      <c r="F353" s="45" t="s">
        <v>94</v>
      </c>
    </row>
    <row r="354" spans="1:6" x14ac:dyDescent="0.3">
      <c r="A354" s="44">
        <v>43547.423736331017</v>
      </c>
      <c r="B354" s="45" t="s">
        <v>49</v>
      </c>
      <c r="C354" s="45">
        <v>36</v>
      </c>
      <c r="D354" s="47">
        <f>VLOOKUP(Добавить18[[#This Row],[Товар]],Итоговая!$G$1:$H$14,2,0)*Добавить18[[#This Row],[количество_единиц_товара]]</f>
        <v>111600</v>
      </c>
      <c r="E354" s="45" t="s">
        <v>71</v>
      </c>
      <c r="F354" s="45" t="s">
        <v>94</v>
      </c>
    </row>
    <row r="355" spans="1:6" x14ac:dyDescent="0.3">
      <c r="A355" s="44">
        <v>43576.836745277775</v>
      </c>
      <c r="B355" s="45" t="s">
        <v>54</v>
      </c>
      <c r="C355" s="45">
        <v>29</v>
      </c>
      <c r="D355" s="47">
        <f>VLOOKUP(Добавить18[[#This Row],[Товар]],Итоговая!$G$1:$H$14,2,0)*Добавить18[[#This Row],[количество_единиц_товара]]</f>
        <v>71050</v>
      </c>
      <c r="E355" s="45" t="s">
        <v>70</v>
      </c>
      <c r="F355" s="45" t="s">
        <v>94</v>
      </c>
    </row>
    <row r="356" spans="1:6" x14ac:dyDescent="0.3">
      <c r="A356" s="44">
        <v>43576.995335960652</v>
      </c>
      <c r="B356" s="45" t="s">
        <v>49</v>
      </c>
      <c r="C356" s="45">
        <v>22</v>
      </c>
      <c r="D356" s="47">
        <f>VLOOKUP(Добавить18[[#This Row],[Товар]],Итоговая!$G$1:$H$14,2,0)*Добавить18[[#This Row],[количество_единиц_товара]]</f>
        <v>68200</v>
      </c>
      <c r="E356" s="45" t="s">
        <v>70</v>
      </c>
      <c r="F356" s="45" t="s">
        <v>94</v>
      </c>
    </row>
    <row r="357" spans="1:6" x14ac:dyDescent="0.3">
      <c r="A357" s="44">
        <v>43591.95349190972</v>
      </c>
      <c r="B357" s="45" t="s">
        <v>54</v>
      </c>
      <c r="C357" s="45">
        <v>17</v>
      </c>
      <c r="D357" s="47">
        <f>VLOOKUP(Добавить18[[#This Row],[Товар]],Итоговая!$G$1:$H$14,2,0)*Добавить18[[#This Row],[количество_единиц_товара]]</f>
        <v>41650</v>
      </c>
      <c r="E357" s="45" t="s">
        <v>70</v>
      </c>
      <c r="F357" s="45" t="s">
        <v>94</v>
      </c>
    </row>
    <row r="358" spans="1:6" x14ac:dyDescent="0.3">
      <c r="A358" s="44">
        <v>43625.355065902775</v>
      </c>
      <c r="B358" s="45" t="s">
        <v>51</v>
      </c>
      <c r="C358" s="45">
        <v>17</v>
      </c>
      <c r="D358" s="47">
        <f>VLOOKUP(Добавить18[[#This Row],[Товар]],Итоговая!$G$1:$H$14,2,0)*Добавить18[[#This Row],[количество_единиц_товара]]</f>
        <v>43520</v>
      </c>
      <c r="E358" s="45" t="s">
        <v>70</v>
      </c>
      <c r="F358" s="45" t="s">
        <v>94</v>
      </c>
    </row>
    <row r="359" spans="1:6" x14ac:dyDescent="0.3">
      <c r="A359" s="44">
        <v>43628.571925023149</v>
      </c>
      <c r="B359" s="45" t="s">
        <v>58</v>
      </c>
      <c r="C359" s="45">
        <v>16</v>
      </c>
      <c r="D359" s="47">
        <f>VLOOKUP(Добавить18[[#This Row],[Товар]],Итоговая!$G$1:$H$14,2,0)*Добавить18[[#This Row],[количество_единиц_товара]]</f>
        <v>71280</v>
      </c>
      <c r="E359" s="45" t="s">
        <v>69</v>
      </c>
      <c r="F359" s="45" t="s">
        <v>94</v>
      </c>
    </row>
    <row r="360" spans="1:6" x14ac:dyDescent="0.3">
      <c r="A360" s="44">
        <v>43647.422387812498</v>
      </c>
      <c r="B360" s="45" t="s">
        <v>54</v>
      </c>
      <c r="C360" s="45">
        <v>25</v>
      </c>
      <c r="D360" s="47">
        <f>VLOOKUP(Добавить18[[#This Row],[Товар]],Итоговая!$G$1:$H$14,2,0)*Добавить18[[#This Row],[количество_единиц_товара]]</f>
        <v>61250</v>
      </c>
      <c r="E360" s="45" t="s">
        <v>71</v>
      </c>
      <c r="F360" s="45" t="s">
        <v>94</v>
      </c>
    </row>
    <row r="361" spans="1:6" x14ac:dyDescent="0.3">
      <c r="A361" s="44">
        <v>43648.829930254629</v>
      </c>
      <c r="B361" s="45" t="s">
        <v>52</v>
      </c>
      <c r="C361" s="45">
        <v>27</v>
      </c>
      <c r="D361" s="47">
        <f>VLOOKUP(Добавить18[[#This Row],[Товар]],Итоговая!$G$1:$H$14,2,0)*Добавить18[[#This Row],[количество_единиц_товара]]</f>
        <v>18360</v>
      </c>
      <c r="E361" s="45" t="s">
        <v>70</v>
      </c>
      <c r="F361" s="45" t="s">
        <v>94</v>
      </c>
    </row>
    <row r="362" spans="1:6" x14ac:dyDescent="0.3">
      <c r="A362" s="44">
        <v>43674.156896261571</v>
      </c>
      <c r="B362" s="45" t="s">
        <v>54</v>
      </c>
      <c r="C362" s="45">
        <v>11</v>
      </c>
      <c r="D362" s="47">
        <f>VLOOKUP(Добавить18[[#This Row],[Товар]],Итоговая!$G$1:$H$14,2,0)*Добавить18[[#This Row],[количество_единиц_товара]]</f>
        <v>26950</v>
      </c>
      <c r="E362" s="45" t="s">
        <v>71</v>
      </c>
      <c r="F362" s="45" t="s">
        <v>94</v>
      </c>
    </row>
    <row r="363" spans="1:6" x14ac:dyDescent="0.3">
      <c r="A363" s="44">
        <v>43684.85096729167</v>
      </c>
      <c r="B363" s="45" t="s">
        <v>49</v>
      </c>
      <c r="C363" s="45">
        <v>27</v>
      </c>
      <c r="D363" s="47">
        <f>VLOOKUP(Добавить18[[#This Row],[Товар]],Итоговая!$G$1:$H$14,2,0)*Добавить18[[#This Row],[количество_единиц_товара]]</f>
        <v>83700</v>
      </c>
      <c r="E363" s="45" t="s">
        <v>69</v>
      </c>
      <c r="F363" s="45" t="s">
        <v>94</v>
      </c>
    </row>
    <row r="364" spans="1:6" x14ac:dyDescent="0.3">
      <c r="A364" s="44">
        <v>43738.562952546294</v>
      </c>
      <c r="B364" s="45" t="s">
        <v>54</v>
      </c>
      <c r="C364" s="45">
        <v>35</v>
      </c>
      <c r="D364" s="47">
        <f>VLOOKUP(Добавить18[[#This Row],[Товар]],Итоговая!$G$1:$H$14,2,0)*Добавить18[[#This Row],[количество_единиц_товара]]</f>
        <v>85750</v>
      </c>
      <c r="E364" s="45" t="s">
        <v>70</v>
      </c>
      <c r="F364" s="45" t="s">
        <v>94</v>
      </c>
    </row>
    <row r="365" spans="1:6" x14ac:dyDescent="0.3">
      <c r="A365" s="44">
        <v>43741.368715937497</v>
      </c>
      <c r="B365" s="45" t="s">
        <v>52</v>
      </c>
      <c r="C365" s="45">
        <v>15</v>
      </c>
      <c r="D365" s="47">
        <f>VLOOKUP(Добавить18[[#This Row],[Товар]],Итоговая!$G$1:$H$14,2,0)*Добавить18[[#This Row],[количество_единиц_товара]]</f>
        <v>10200</v>
      </c>
      <c r="E365" s="45" t="s">
        <v>70</v>
      </c>
      <c r="F365" s="45" t="s">
        <v>94</v>
      </c>
    </row>
    <row r="366" spans="1:6" x14ac:dyDescent="0.3">
      <c r="A366" s="44">
        <v>43741.425788136577</v>
      </c>
      <c r="B366" s="45" t="s">
        <v>52</v>
      </c>
      <c r="C366" s="45">
        <v>31</v>
      </c>
      <c r="D366" s="47">
        <f>VLOOKUP(Добавить18[[#This Row],[Товар]],Итоговая!$G$1:$H$14,2,0)*Добавить18[[#This Row],[количество_единиц_товара]]</f>
        <v>21080</v>
      </c>
      <c r="E366" s="45" t="s">
        <v>70</v>
      </c>
      <c r="F366" s="45" t="s">
        <v>94</v>
      </c>
    </row>
    <row r="367" spans="1:6" x14ac:dyDescent="0.3">
      <c r="A367" s="44">
        <v>43750.994055324074</v>
      </c>
      <c r="B367" s="45" t="s">
        <v>52</v>
      </c>
      <c r="C367" s="45">
        <v>30</v>
      </c>
      <c r="D367" s="47">
        <f>VLOOKUP(Добавить18[[#This Row],[Товар]],Итоговая!$G$1:$H$14,2,0)*Добавить18[[#This Row],[количество_единиц_товара]]</f>
        <v>20400</v>
      </c>
      <c r="E367" s="45" t="s">
        <v>69</v>
      </c>
      <c r="F367" s="45" t="s">
        <v>94</v>
      </c>
    </row>
    <row r="368" spans="1:6" x14ac:dyDescent="0.3">
      <c r="A368" s="44">
        <v>43763.014928136574</v>
      </c>
      <c r="B368" s="45" t="s">
        <v>59</v>
      </c>
      <c r="C368" s="45">
        <v>35</v>
      </c>
      <c r="D368" s="47">
        <f>VLOOKUP(Добавить18[[#This Row],[Товар]],Итоговая!$G$1:$H$14,2,0)*Добавить18[[#This Row],[количество_единиц_товара]]</f>
        <v>70000</v>
      </c>
      <c r="E368" s="45" t="s">
        <v>70</v>
      </c>
      <c r="F368" s="45" t="s">
        <v>94</v>
      </c>
    </row>
    <row r="369" spans="1:6" x14ac:dyDescent="0.3">
      <c r="A369" s="44">
        <v>43780.059240196759</v>
      </c>
      <c r="B369" s="45" t="s">
        <v>52</v>
      </c>
      <c r="C369" s="45">
        <v>22</v>
      </c>
      <c r="D369" s="47">
        <f>VLOOKUP(Добавить18[[#This Row],[Товар]],Итоговая!$G$1:$H$14,2,0)*Добавить18[[#This Row],[количество_единиц_товара]]</f>
        <v>14960</v>
      </c>
      <c r="E369" s="45" t="s">
        <v>71</v>
      </c>
      <c r="F369" s="45" t="s">
        <v>94</v>
      </c>
    </row>
    <row r="370" spans="1:6" x14ac:dyDescent="0.3">
      <c r="A370" s="44">
        <v>43801.671702962965</v>
      </c>
      <c r="B370" s="45" t="s">
        <v>53</v>
      </c>
      <c r="C370" s="45">
        <v>19</v>
      </c>
      <c r="D370" s="47">
        <f>VLOOKUP(Добавить18[[#This Row],[Товар]],Итоговая!$G$1:$H$14,2,0)*Добавить18[[#This Row],[количество_единиц_товара]]</f>
        <v>33972</v>
      </c>
      <c r="E370" s="45" t="s">
        <v>70</v>
      </c>
      <c r="F370" s="45" t="s">
        <v>94</v>
      </c>
    </row>
    <row r="371" spans="1:6" x14ac:dyDescent="0.3">
      <c r="A371" s="44">
        <v>43804.288205740741</v>
      </c>
      <c r="B371" s="45" t="s">
        <v>58</v>
      </c>
      <c r="C371" s="45">
        <v>30</v>
      </c>
      <c r="D371" s="47">
        <f>VLOOKUP(Добавить18[[#This Row],[Товар]],Итоговая!$G$1:$H$14,2,0)*Добавить18[[#This Row],[количество_единиц_товара]]</f>
        <v>133650</v>
      </c>
      <c r="E371" s="45" t="s">
        <v>69</v>
      </c>
      <c r="F371" s="45" t="s">
        <v>94</v>
      </c>
    </row>
    <row r="372" spans="1:6" x14ac:dyDescent="0.3">
      <c r="A372" s="44">
        <v>43808.609502743057</v>
      </c>
      <c r="B372" s="45" t="s">
        <v>59</v>
      </c>
      <c r="C372" s="45">
        <v>31</v>
      </c>
      <c r="D372" s="47">
        <f>VLOOKUP(Добавить18[[#This Row],[Товар]],Итоговая!$G$1:$H$14,2,0)*Добавить18[[#This Row],[количество_единиц_товара]]</f>
        <v>62000</v>
      </c>
      <c r="E372" s="45" t="s">
        <v>71</v>
      </c>
      <c r="F372" s="45" t="s">
        <v>94</v>
      </c>
    </row>
    <row r="373" spans="1:6" x14ac:dyDescent="0.3">
      <c r="A373" s="44">
        <v>43812.489190740744</v>
      </c>
      <c r="B373" s="45" t="s">
        <v>49</v>
      </c>
      <c r="C373" s="45">
        <v>40</v>
      </c>
      <c r="D373" s="47">
        <f>VLOOKUP(Добавить18[[#This Row],[Товар]],Итоговая!$G$1:$H$14,2,0)*Добавить18[[#This Row],[количество_единиц_товара]]</f>
        <v>124000</v>
      </c>
      <c r="E373" s="45" t="s">
        <v>70</v>
      </c>
      <c r="F373" s="45" t="s">
        <v>94</v>
      </c>
    </row>
    <row r="374" spans="1:6" x14ac:dyDescent="0.3">
      <c r="A374" s="44">
        <v>43816.556806203705</v>
      </c>
      <c r="B374" s="45" t="s">
        <v>49</v>
      </c>
      <c r="C374" s="45">
        <v>24</v>
      </c>
      <c r="D374" s="47">
        <f>VLOOKUP(Добавить18[[#This Row],[Товар]],Итоговая!$G$1:$H$14,2,0)*Добавить18[[#This Row],[количество_единиц_товара]]</f>
        <v>74400</v>
      </c>
      <c r="E374" s="45" t="s">
        <v>71</v>
      </c>
      <c r="F374" s="45" t="s">
        <v>94</v>
      </c>
    </row>
    <row r="375" spans="1:6" x14ac:dyDescent="0.3">
      <c r="A375" s="44">
        <v>43826.354724016201</v>
      </c>
      <c r="B375" s="45" t="s">
        <v>49</v>
      </c>
      <c r="C375" s="45">
        <v>14</v>
      </c>
      <c r="D375" s="47">
        <f>VLOOKUP(Добавить18[[#This Row],[Товар]],Итоговая!$G$1:$H$14,2,0)*Добавить18[[#This Row],[количество_единиц_товара]]</f>
        <v>43400</v>
      </c>
      <c r="E375" s="45" t="s">
        <v>71</v>
      </c>
      <c r="F375" s="45" t="s">
        <v>94</v>
      </c>
    </row>
    <row r="376" spans="1:6" x14ac:dyDescent="0.3">
      <c r="A376" s="44">
        <v>43826.880375300927</v>
      </c>
      <c r="B376" s="45" t="s">
        <v>59</v>
      </c>
      <c r="C376" s="45">
        <v>30</v>
      </c>
      <c r="D376" s="47">
        <f>VLOOKUP(Добавить18[[#This Row],[Товар]],Итоговая!$G$1:$H$14,2,0)*Добавить18[[#This Row],[количество_единиц_товара]]</f>
        <v>60000</v>
      </c>
      <c r="E376" s="45" t="s">
        <v>69</v>
      </c>
      <c r="F376" s="45" t="s">
        <v>94</v>
      </c>
    </row>
    <row r="377" spans="1:6" x14ac:dyDescent="0.3">
      <c r="A377" s="44">
        <v>43830.135047222226</v>
      </c>
      <c r="B377" s="45" t="s">
        <v>58</v>
      </c>
      <c r="C377" s="45">
        <v>31</v>
      </c>
      <c r="D377" s="47">
        <f>VLOOKUP(Добавить18[[#This Row],[Товар]],Итоговая!$G$1:$H$14,2,0)*Добавить18[[#This Row],[количество_единиц_товара]]</f>
        <v>138105</v>
      </c>
      <c r="E377" s="45" t="s">
        <v>70</v>
      </c>
      <c r="F377" s="45" t="s">
        <v>94</v>
      </c>
    </row>
    <row r="378" spans="1:6" x14ac:dyDescent="0.3">
      <c r="A378" s="44">
        <v>43837.134141747687</v>
      </c>
      <c r="B378" s="45" t="s">
        <v>61</v>
      </c>
      <c r="C378" s="45">
        <v>31</v>
      </c>
      <c r="D378" s="47">
        <f>VLOOKUP(Добавить18[[#This Row],[Товар]],Итоговая!$G$1:$H$14,2,0)*Добавить18[[#This Row],[количество_единиц_товара]]</f>
        <v>107570</v>
      </c>
      <c r="E378" s="45" t="s">
        <v>69</v>
      </c>
      <c r="F378" s="45" t="s">
        <v>94</v>
      </c>
    </row>
    <row r="379" spans="1:6" x14ac:dyDescent="0.3">
      <c r="A379" s="44">
        <v>43839.555840486108</v>
      </c>
      <c r="B379" s="45" t="s">
        <v>52</v>
      </c>
      <c r="C379" s="45">
        <v>29</v>
      </c>
      <c r="D379" s="47">
        <f>VLOOKUP(Добавить18[[#This Row],[Товар]],Итоговая!$G$1:$H$14,2,0)*Добавить18[[#This Row],[количество_единиц_товара]]</f>
        <v>19720</v>
      </c>
      <c r="E379" s="45" t="s">
        <v>70</v>
      </c>
      <c r="F379" s="45" t="s">
        <v>94</v>
      </c>
    </row>
    <row r="380" spans="1:6" x14ac:dyDescent="0.3">
      <c r="A380" s="44">
        <v>43844.502089583337</v>
      </c>
      <c r="B380" s="45" t="s">
        <v>59</v>
      </c>
      <c r="C380" s="45">
        <v>23</v>
      </c>
      <c r="D380" s="47">
        <f>VLOOKUP(Добавить18[[#This Row],[Товар]],Итоговая!$G$1:$H$14,2,0)*Добавить18[[#This Row],[количество_единиц_товара]]</f>
        <v>46000</v>
      </c>
      <c r="E380" s="45" t="s">
        <v>69</v>
      </c>
      <c r="F380" s="45" t="s">
        <v>94</v>
      </c>
    </row>
    <row r="381" spans="1:6" x14ac:dyDescent="0.3">
      <c r="A381" s="44">
        <v>43848.757118275462</v>
      </c>
      <c r="B381" s="45" t="s">
        <v>52</v>
      </c>
      <c r="C381" s="45">
        <v>12</v>
      </c>
      <c r="D381" s="47">
        <f>VLOOKUP(Добавить18[[#This Row],[Товар]],Итоговая!$G$1:$H$14,2,0)*Добавить18[[#This Row],[количество_единиц_товара]]</f>
        <v>8160</v>
      </c>
      <c r="E381" s="45" t="s">
        <v>69</v>
      </c>
      <c r="F381" s="45" t="s">
        <v>94</v>
      </c>
    </row>
    <row r="382" spans="1:6" x14ac:dyDescent="0.3">
      <c r="A382" s="44">
        <v>43852.34172236111</v>
      </c>
      <c r="B382" s="45" t="s">
        <v>56</v>
      </c>
      <c r="C382" s="45">
        <v>21</v>
      </c>
      <c r="D382" s="47">
        <f>VLOOKUP(Добавить18[[#This Row],[Товар]],Итоговая!$G$1:$H$14,2,0)*Добавить18[[#This Row],[количество_единиц_товара]]</f>
        <v>33600</v>
      </c>
      <c r="E382" s="45" t="s">
        <v>69</v>
      </c>
      <c r="F382" s="45" t="s">
        <v>94</v>
      </c>
    </row>
    <row r="383" spans="1:6" x14ac:dyDescent="0.3">
      <c r="A383" s="44">
        <v>43857.787139768516</v>
      </c>
      <c r="B383" s="45" t="s">
        <v>57</v>
      </c>
      <c r="C383" s="45">
        <v>18</v>
      </c>
      <c r="D383" s="47">
        <f>VLOOKUP(Добавить18[[#This Row],[Товар]],Итоговая!$G$1:$H$14,2,0)*Добавить18[[#This Row],[количество_единиц_товара]]</f>
        <v>68328</v>
      </c>
      <c r="E383" s="45" t="s">
        <v>69</v>
      </c>
      <c r="F383" s="45" t="s">
        <v>94</v>
      </c>
    </row>
    <row r="384" spans="1:6" x14ac:dyDescent="0.3">
      <c r="A384" s="44">
        <v>43860.43648689815</v>
      </c>
      <c r="B384" s="45" t="s">
        <v>51</v>
      </c>
      <c r="C384" s="45">
        <v>21</v>
      </c>
      <c r="D384" s="47">
        <f>VLOOKUP(Добавить18[[#This Row],[Товар]],Итоговая!$G$1:$H$14,2,0)*Добавить18[[#This Row],[количество_единиц_товара]]</f>
        <v>53760</v>
      </c>
      <c r="E384" s="45" t="s">
        <v>70</v>
      </c>
      <c r="F384" s="45" t="s">
        <v>94</v>
      </c>
    </row>
    <row r="385" spans="1:6" x14ac:dyDescent="0.3">
      <c r="A385" s="44">
        <v>43871.349357395833</v>
      </c>
      <c r="B385" s="45" t="s">
        <v>60</v>
      </c>
      <c r="C385" s="45">
        <v>13</v>
      </c>
      <c r="D385" s="47">
        <f>VLOOKUP(Добавить18[[#This Row],[Товар]],Итоговая!$G$1:$H$14,2,0)*Добавить18[[#This Row],[количество_единиц_товара]]</f>
        <v>75257</v>
      </c>
      <c r="E385" s="45" t="s">
        <v>71</v>
      </c>
      <c r="F385" s="45" t="s">
        <v>94</v>
      </c>
    </row>
    <row r="386" spans="1:6" x14ac:dyDescent="0.3">
      <c r="A386" s="44">
        <v>43878.965655590277</v>
      </c>
      <c r="B386" s="45" t="s">
        <v>51</v>
      </c>
      <c r="C386" s="45">
        <v>19</v>
      </c>
      <c r="D386" s="47">
        <f>VLOOKUP(Добавить18[[#This Row],[Товар]],Итоговая!$G$1:$H$14,2,0)*Добавить18[[#This Row],[количество_единиц_товара]]</f>
        <v>48640</v>
      </c>
      <c r="E386" s="45" t="s">
        <v>71</v>
      </c>
      <c r="F386" s="45" t="s">
        <v>94</v>
      </c>
    </row>
    <row r="387" spans="1:6" x14ac:dyDescent="0.3">
      <c r="A387" s="44">
        <v>43890.791980972223</v>
      </c>
      <c r="B387" s="45" t="s">
        <v>54</v>
      </c>
      <c r="C387" s="45">
        <v>15</v>
      </c>
      <c r="D387" s="47">
        <f>VLOOKUP(Добавить18[[#This Row],[Товар]],Итоговая!$G$1:$H$14,2,0)*Добавить18[[#This Row],[количество_единиц_товара]]</f>
        <v>36750</v>
      </c>
      <c r="E387" s="45" t="s">
        <v>71</v>
      </c>
      <c r="F387" s="45" t="s">
        <v>94</v>
      </c>
    </row>
    <row r="388" spans="1:6" x14ac:dyDescent="0.3">
      <c r="A388" s="44">
        <v>43905.308993645835</v>
      </c>
      <c r="B388" s="45" t="s">
        <v>58</v>
      </c>
      <c r="C388" s="45">
        <v>14</v>
      </c>
      <c r="D388" s="47">
        <f>VLOOKUP(Добавить18[[#This Row],[Товар]],Итоговая!$G$1:$H$14,2,0)*Добавить18[[#This Row],[количество_единиц_товара]]</f>
        <v>62370</v>
      </c>
      <c r="E388" s="45" t="s">
        <v>70</v>
      </c>
      <c r="F388" s="45" t="s">
        <v>94</v>
      </c>
    </row>
    <row r="389" spans="1:6" x14ac:dyDescent="0.3">
      <c r="A389" s="44">
        <v>43909.201555358799</v>
      </c>
      <c r="B389" s="45" t="s">
        <v>53</v>
      </c>
      <c r="C389" s="45">
        <v>28</v>
      </c>
      <c r="D389" s="47">
        <f>VLOOKUP(Добавить18[[#This Row],[Товар]],Итоговая!$G$1:$H$14,2,0)*Добавить18[[#This Row],[количество_единиц_товара]]</f>
        <v>50064</v>
      </c>
      <c r="E389" s="45" t="s">
        <v>70</v>
      </c>
      <c r="F389" s="45" t="s">
        <v>94</v>
      </c>
    </row>
    <row r="390" spans="1:6" x14ac:dyDescent="0.3">
      <c r="A390" s="44">
        <v>43909.950118020832</v>
      </c>
      <c r="B390" s="45" t="s">
        <v>51</v>
      </c>
      <c r="C390" s="45">
        <v>21</v>
      </c>
      <c r="D390" s="47">
        <f>VLOOKUP(Добавить18[[#This Row],[Товар]],Итоговая!$G$1:$H$14,2,0)*Добавить18[[#This Row],[количество_единиц_товара]]</f>
        <v>53760</v>
      </c>
      <c r="E390" s="45" t="s">
        <v>70</v>
      </c>
      <c r="F390" s="45" t="s">
        <v>94</v>
      </c>
    </row>
    <row r="391" spans="1:6" x14ac:dyDescent="0.3">
      <c r="A391" s="44">
        <v>43910.944074490741</v>
      </c>
      <c r="B391" s="45" t="s">
        <v>60</v>
      </c>
      <c r="C391" s="45">
        <v>22</v>
      </c>
      <c r="D391" s="47">
        <f>VLOOKUP(Добавить18[[#This Row],[Товар]],Итоговая!$G$1:$H$14,2,0)*Добавить18[[#This Row],[количество_единиц_товара]]</f>
        <v>127358</v>
      </c>
      <c r="E391" s="45" t="s">
        <v>70</v>
      </c>
      <c r="F391" s="45" t="s">
        <v>94</v>
      </c>
    </row>
    <row r="392" spans="1:6" x14ac:dyDescent="0.3">
      <c r="A392" s="44">
        <v>43947.065467905093</v>
      </c>
      <c r="B392" s="45" t="s">
        <v>60</v>
      </c>
      <c r="C392" s="45">
        <v>22</v>
      </c>
      <c r="D392" s="47">
        <f>VLOOKUP(Добавить18[[#This Row],[Товар]],Итоговая!$G$1:$H$14,2,0)*Добавить18[[#This Row],[количество_единиц_товара]]</f>
        <v>127358</v>
      </c>
      <c r="E392" s="45" t="s">
        <v>70</v>
      </c>
      <c r="F392" s="45" t="s">
        <v>94</v>
      </c>
    </row>
    <row r="393" spans="1:6" x14ac:dyDescent="0.3">
      <c r="A393" s="44">
        <v>43947.654511493056</v>
      </c>
      <c r="B393" s="45" t="s">
        <v>54</v>
      </c>
      <c r="C393" s="45">
        <v>37</v>
      </c>
      <c r="D393" s="47">
        <f>VLOOKUP(Добавить18[[#This Row],[Товар]],Итоговая!$G$1:$H$14,2,0)*Добавить18[[#This Row],[количество_единиц_товара]]</f>
        <v>90650</v>
      </c>
      <c r="E393" s="45" t="s">
        <v>70</v>
      </c>
      <c r="F393" s="45" t="s">
        <v>94</v>
      </c>
    </row>
    <row r="394" spans="1:6" x14ac:dyDescent="0.3">
      <c r="A394" s="44">
        <v>43952.795568819442</v>
      </c>
      <c r="B394" s="45" t="s">
        <v>52</v>
      </c>
      <c r="C394" s="45">
        <v>33</v>
      </c>
      <c r="D394" s="47">
        <f>VLOOKUP(Добавить18[[#This Row],[Товар]],Итоговая!$G$1:$H$14,2,0)*Добавить18[[#This Row],[количество_единиц_товара]]</f>
        <v>22440</v>
      </c>
      <c r="E394" s="45" t="s">
        <v>69</v>
      </c>
      <c r="F394" s="45" t="s">
        <v>94</v>
      </c>
    </row>
    <row r="395" spans="1:6" x14ac:dyDescent="0.3">
      <c r="A395" s="44">
        <v>43958.111629675928</v>
      </c>
      <c r="B395" s="45" t="s">
        <v>51</v>
      </c>
      <c r="C395" s="45">
        <v>22</v>
      </c>
      <c r="D395" s="47">
        <f>VLOOKUP(Добавить18[[#This Row],[Товар]],Итоговая!$G$1:$H$14,2,0)*Добавить18[[#This Row],[количество_единиц_товара]]</f>
        <v>56320</v>
      </c>
      <c r="E395" s="45" t="s">
        <v>71</v>
      </c>
      <c r="F395" s="45" t="s">
        <v>94</v>
      </c>
    </row>
    <row r="396" spans="1:6" x14ac:dyDescent="0.3">
      <c r="A396" s="44">
        <v>43960.888260219908</v>
      </c>
      <c r="B396" s="45" t="s">
        <v>52</v>
      </c>
      <c r="C396" s="45">
        <v>21</v>
      </c>
      <c r="D396" s="47">
        <f>VLOOKUP(Добавить18[[#This Row],[Товар]],Итоговая!$G$1:$H$14,2,0)*Добавить18[[#This Row],[количество_единиц_товара]]</f>
        <v>14280</v>
      </c>
      <c r="E396" s="45" t="s">
        <v>70</v>
      </c>
      <c r="F396" s="45" t="s">
        <v>94</v>
      </c>
    </row>
    <row r="397" spans="1:6" x14ac:dyDescent="0.3">
      <c r="A397" s="44">
        <v>43962.472525543984</v>
      </c>
      <c r="B397" s="45" t="s">
        <v>58</v>
      </c>
      <c r="C397" s="45">
        <v>17</v>
      </c>
      <c r="D397" s="47">
        <f>VLOOKUP(Добавить18[[#This Row],[Товар]],Итоговая!$G$1:$H$14,2,0)*Добавить18[[#This Row],[количество_единиц_товара]]</f>
        <v>75735</v>
      </c>
      <c r="E397" s="45" t="s">
        <v>70</v>
      </c>
      <c r="F397" s="45" t="s">
        <v>94</v>
      </c>
    </row>
    <row r="398" spans="1:6" x14ac:dyDescent="0.3">
      <c r="A398" s="44">
        <v>43975.631173865739</v>
      </c>
      <c r="B398" s="45" t="s">
        <v>53</v>
      </c>
      <c r="C398" s="45">
        <v>15</v>
      </c>
      <c r="D398" s="47">
        <f>VLOOKUP(Добавить18[[#This Row],[Товар]],Итоговая!$G$1:$H$14,2,0)*Добавить18[[#This Row],[количество_единиц_товара]]</f>
        <v>26820</v>
      </c>
      <c r="E398" s="45" t="s">
        <v>70</v>
      </c>
      <c r="F398" s="45" t="s">
        <v>94</v>
      </c>
    </row>
    <row r="399" spans="1:6" x14ac:dyDescent="0.3">
      <c r="A399" s="44">
        <v>43978.499055960645</v>
      </c>
      <c r="B399" s="45" t="s">
        <v>51</v>
      </c>
      <c r="C399" s="45">
        <v>14</v>
      </c>
      <c r="D399" s="47">
        <f>VLOOKUP(Добавить18[[#This Row],[Товар]],Итоговая!$G$1:$H$14,2,0)*Добавить18[[#This Row],[количество_единиц_товара]]</f>
        <v>35840</v>
      </c>
      <c r="E399" s="45" t="s">
        <v>70</v>
      </c>
      <c r="F399" s="45" t="s">
        <v>94</v>
      </c>
    </row>
    <row r="400" spans="1:6" x14ac:dyDescent="0.3">
      <c r="A400" s="44">
        <v>43980.855439953702</v>
      </c>
      <c r="B400" s="45" t="s">
        <v>58</v>
      </c>
      <c r="C400" s="45">
        <v>20</v>
      </c>
      <c r="D400" s="47">
        <f>VLOOKUP(Добавить18[[#This Row],[Товар]],Итоговая!$G$1:$H$14,2,0)*Добавить18[[#This Row],[количество_единиц_товара]]</f>
        <v>89100</v>
      </c>
      <c r="E400" s="45" t="s">
        <v>69</v>
      </c>
      <c r="F400" s="45" t="s">
        <v>94</v>
      </c>
    </row>
    <row r="401" spans="1:6" x14ac:dyDescent="0.3">
      <c r="A401" s="44">
        <v>44008.696552361114</v>
      </c>
      <c r="B401" s="45" t="s">
        <v>58</v>
      </c>
      <c r="C401" s="45">
        <v>17</v>
      </c>
      <c r="D401" s="47">
        <f>VLOOKUP(Добавить18[[#This Row],[Товар]],Итоговая!$G$1:$H$14,2,0)*Добавить18[[#This Row],[количество_единиц_товара]]</f>
        <v>75735</v>
      </c>
      <c r="E401" s="45" t="s">
        <v>71</v>
      </c>
      <c r="F401" s="45" t="s">
        <v>94</v>
      </c>
    </row>
    <row r="402" spans="1:6" x14ac:dyDescent="0.3">
      <c r="A402" s="44">
        <v>44011.226656678242</v>
      </c>
      <c r="B402" s="45" t="s">
        <v>60</v>
      </c>
      <c r="C402" s="45">
        <v>17</v>
      </c>
      <c r="D402" s="47">
        <f>VLOOKUP(Добавить18[[#This Row],[Товар]],Итоговая!$G$1:$H$14,2,0)*Добавить18[[#This Row],[количество_единиц_товара]]</f>
        <v>98413</v>
      </c>
      <c r="E402" s="45" t="s">
        <v>70</v>
      </c>
      <c r="F402" s="45" t="s">
        <v>94</v>
      </c>
    </row>
    <row r="403" spans="1:6" x14ac:dyDescent="0.3">
      <c r="A403" s="44">
        <v>44020.989116157405</v>
      </c>
      <c r="B403" s="45" t="s">
        <v>61</v>
      </c>
      <c r="C403" s="45">
        <v>31</v>
      </c>
      <c r="D403" s="47">
        <f>VLOOKUP(Добавить18[[#This Row],[Товар]],Итоговая!$G$1:$H$14,2,0)*Добавить18[[#This Row],[количество_единиц_товара]]</f>
        <v>107570</v>
      </c>
      <c r="E403" s="45" t="s">
        <v>71</v>
      </c>
      <c r="F403" s="45" t="s">
        <v>94</v>
      </c>
    </row>
    <row r="404" spans="1:6" x14ac:dyDescent="0.3">
      <c r="A404" s="44">
        <v>44037.905377835647</v>
      </c>
      <c r="B404" s="45" t="s">
        <v>58</v>
      </c>
      <c r="C404" s="45">
        <v>27</v>
      </c>
      <c r="D404" s="47">
        <f>VLOOKUP(Добавить18[[#This Row],[Товар]],Итоговая!$G$1:$H$14,2,0)*Добавить18[[#This Row],[количество_единиц_товара]]</f>
        <v>120285</v>
      </c>
      <c r="E404" s="45" t="s">
        <v>69</v>
      </c>
      <c r="F404" s="45" t="s">
        <v>94</v>
      </c>
    </row>
    <row r="405" spans="1:6" x14ac:dyDescent="0.3">
      <c r="A405" s="44">
        <v>44040.66553810185</v>
      </c>
      <c r="B405" s="45" t="s">
        <v>52</v>
      </c>
      <c r="C405" s="45">
        <v>30</v>
      </c>
      <c r="D405" s="47">
        <f>VLOOKUP(Добавить18[[#This Row],[Товар]],Итоговая!$G$1:$H$14,2,0)*Добавить18[[#This Row],[количество_единиц_товара]]</f>
        <v>20400</v>
      </c>
      <c r="E405" s="45" t="s">
        <v>70</v>
      </c>
      <c r="F405" s="45" t="s">
        <v>94</v>
      </c>
    </row>
    <row r="406" spans="1:6" x14ac:dyDescent="0.3">
      <c r="A406" s="44">
        <v>44058.386370671295</v>
      </c>
      <c r="B406" s="45" t="s">
        <v>61</v>
      </c>
      <c r="C406" s="45">
        <v>18</v>
      </c>
      <c r="D406" s="47">
        <f>VLOOKUP(Добавить18[[#This Row],[Товар]],Итоговая!$G$1:$H$14,2,0)*Добавить18[[#This Row],[количество_единиц_товара]]</f>
        <v>62460</v>
      </c>
      <c r="E406" s="45" t="s">
        <v>70</v>
      </c>
      <c r="F406" s="45" t="s">
        <v>94</v>
      </c>
    </row>
    <row r="407" spans="1:6" x14ac:dyDescent="0.3">
      <c r="A407" s="44">
        <v>44063.034004363428</v>
      </c>
      <c r="B407" s="45" t="s">
        <v>58</v>
      </c>
      <c r="C407" s="45">
        <v>28</v>
      </c>
      <c r="D407" s="47">
        <f>VLOOKUP(Добавить18[[#This Row],[Товар]],Итоговая!$G$1:$H$14,2,0)*Добавить18[[#This Row],[количество_единиц_товара]]</f>
        <v>124740</v>
      </c>
      <c r="E407" s="45" t="s">
        <v>70</v>
      </c>
      <c r="F407" s="45" t="s">
        <v>94</v>
      </c>
    </row>
    <row r="408" spans="1:6" x14ac:dyDescent="0.3">
      <c r="A408" s="44">
        <v>44072.889679629632</v>
      </c>
      <c r="B408" s="45" t="s">
        <v>50</v>
      </c>
      <c r="C408" s="45">
        <v>39</v>
      </c>
      <c r="D408" s="47">
        <f>VLOOKUP(Добавить18[[#This Row],[Товар]],Итоговая!$G$1:$H$14,2,0)*Добавить18[[#This Row],[количество_единиц_товара]]</f>
        <v>85800</v>
      </c>
      <c r="E408" s="45" t="s">
        <v>69</v>
      </c>
      <c r="F408" s="45" t="s">
        <v>94</v>
      </c>
    </row>
    <row r="409" spans="1:6" x14ac:dyDescent="0.3">
      <c r="A409" s="44">
        <v>44099.072172499997</v>
      </c>
      <c r="B409" s="45" t="s">
        <v>54</v>
      </c>
      <c r="C409" s="45">
        <v>40</v>
      </c>
      <c r="D409" s="47">
        <f>VLOOKUP(Добавить18[[#This Row],[Товар]],Итоговая!$G$1:$H$14,2,0)*Добавить18[[#This Row],[количество_единиц_товара]]</f>
        <v>98000</v>
      </c>
      <c r="E409" s="45" t="s">
        <v>70</v>
      </c>
      <c r="F409" s="45" t="s">
        <v>94</v>
      </c>
    </row>
    <row r="410" spans="1:6" x14ac:dyDescent="0.3">
      <c r="A410" s="44">
        <v>44108.356999942131</v>
      </c>
      <c r="B410" s="45" t="s">
        <v>52</v>
      </c>
      <c r="C410" s="45">
        <v>26</v>
      </c>
      <c r="D410" s="47">
        <f>VLOOKUP(Добавить18[[#This Row],[Товар]],Итоговая!$G$1:$H$14,2,0)*Добавить18[[#This Row],[количество_единиц_товара]]</f>
        <v>17680</v>
      </c>
      <c r="E410" s="45" t="s">
        <v>71</v>
      </c>
      <c r="F410" s="45" t="s">
        <v>94</v>
      </c>
    </row>
    <row r="411" spans="1:6" x14ac:dyDescent="0.3">
      <c r="A411" s="44">
        <v>44109.94348332176</v>
      </c>
      <c r="B411" s="45" t="s">
        <v>50</v>
      </c>
      <c r="C411" s="45">
        <v>31</v>
      </c>
      <c r="D411" s="47">
        <f>VLOOKUP(Добавить18[[#This Row],[Товар]],Итоговая!$G$1:$H$14,2,0)*Добавить18[[#This Row],[количество_единиц_товара]]</f>
        <v>68200</v>
      </c>
      <c r="E411" s="45" t="s">
        <v>70</v>
      </c>
      <c r="F411" s="45" t="s">
        <v>94</v>
      </c>
    </row>
    <row r="412" spans="1:6" x14ac:dyDescent="0.3">
      <c r="A412" s="44">
        <v>44115.618114097226</v>
      </c>
      <c r="B412" s="45" t="s">
        <v>61</v>
      </c>
      <c r="C412" s="45">
        <v>12</v>
      </c>
      <c r="D412" s="47">
        <f>VLOOKUP(Добавить18[[#This Row],[Товар]],Итоговая!$G$1:$H$14,2,0)*Добавить18[[#This Row],[количество_единиц_товара]]</f>
        <v>41640</v>
      </c>
      <c r="E412" s="45" t="s">
        <v>69</v>
      </c>
      <c r="F412" s="45" t="s">
        <v>94</v>
      </c>
    </row>
    <row r="413" spans="1:6" x14ac:dyDescent="0.3">
      <c r="A413" s="44">
        <v>44122.574855474537</v>
      </c>
      <c r="B413" s="45" t="s">
        <v>59</v>
      </c>
      <c r="C413" s="45">
        <v>19</v>
      </c>
      <c r="D413" s="47">
        <f>VLOOKUP(Добавить18[[#This Row],[Товар]],Итоговая!$G$1:$H$14,2,0)*Добавить18[[#This Row],[количество_единиц_товара]]</f>
        <v>38000</v>
      </c>
      <c r="E413" s="45" t="s">
        <v>71</v>
      </c>
      <c r="F413" s="45" t="s">
        <v>94</v>
      </c>
    </row>
    <row r="414" spans="1:6" x14ac:dyDescent="0.3">
      <c r="A414" s="44">
        <v>44129.243300208334</v>
      </c>
      <c r="B414" s="45" t="s">
        <v>59</v>
      </c>
      <c r="C414" s="45">
        <v>29</v>
      </c>
      <c r="D414" s="47">
        <f>VLOOKUP(Добавить18[[#This Row],[Товар]],Итоговая!$G$1:$H$14,2,0)*Добавить18[[#This Row],[количество_единиц_товара]]</f>
        <v>58000</v>
      </c>
      <c r="E414" s="45" t="s">
        <v>70</v>
      </c>
      <c r="F414" s="45" t="s">
        <v>94</v>
      </c>
    </row>
    <row r="415" spans="1:6" x14ac:dyDescent="0.3">
      <c r="A415" s="44">
        <v>44156.45750355324</v>
      </c>
      <c r="B415" s="45" t="s">
        <v>52</v>
      </c>
      <c r="C415" s="45">
        <v>28</v>
      </c>
      <c r="D415" s="47">
        <f>VLOOKUP(Добавить18[[#This Row],[Товар]],Итоговая!$G$1:$H$14,2,0)*Добавить18[[#This Row],[количество_единиц_товара]]</f>
        <v>19040</v>
      </c>
      <c r="E415" s="45" t="s">
        <v>71</v>
      </c>
      <c r="F415" s="45" t="s">
        <v>94</v>
      </c>
    </row>
    <row r="416" spans="1:6" x14ac:dyDescent="0.3">
      <c r="A416" s="44">
        <v>44160.926838402775</v>
      </c>
      <c r="B416" s="45" t="s">
        <v>50</v>
      </c>
      <c r="C416" s="45">
        <v>35</v>
      </c>
      <c r="D416" s="47">
        <f>VLOOKUP(Добавить18[[#This Row],[Товар]],Итоговая!$G$1:$H$14,2,0)*Добавить18[[#This Row],[количество_единиц_товара]]</f>
        <v>77000</v>
      </c>
      <c r="E416" s="45" t="s">
        <v>71</v>
      </c>
      <c r="F416" s="45" t="s">
        <v>94</v>
      </c>
    </row>
    <row r="417" spans="1:6" x14ac:dyDescent="0.3">
      <c r="A417" s="44">
        <v>44161.649174155093</v>
      </c>
      <c r="B417" s="45" t="s">
        <v>56</v>
      </c>
      <c r="C417" s="45">
        <v>10</v>
      </c>
      <c r="D417" s="47">
        <f>VLOOKUP(Добавить18[[#This Row],[Товар]],Итоговая!$G$1:$H$14,2,0)*Добавить18[[#This Row],[количество_единиц_товара]]</f>
        <v>16000</v>
      </c>
      <c r="E417" s="45" t="s">
        <v>69</v>
      </c>
      <c r="F417" s="45" t="s">
        <v>94</v>
      </c>
    </row>
    <row r="418" spans="1:6" x14ac:dyDescent="0.3">
      <c r="A418" s="44">
        <v>44178.216190798608</v>
      </c>
      <c r="B418" s="45" t="s">
        <v>57</v>
      </c>
      <c r="C418" s="45">
        <v>18</v>
      </c>
      <c r="D418" s="47">
        <f>VLOOKUP(Добавить18[[#This Row],[Товар]],Итоговая!$G$1:$H$14,2,0)*Добавить18[[#This Row],[количество_единиц_товара]]</f>
        <v>68328</v>
      </c>
      <c r="E418" s="45" t="s">
        <v>70</v>
      </c>
      <c r="F418" s="45" t="s">
        <v>94</v>
      </c>
    </row>
    <row r="419" spans="1:6" x14ac:dyDescent="0.3">
      <c r="A419" s="44">
        <v>44184.428186631943</v>
      </c>
      <c r="B419" s="45" t="s">
        <v>50</v>
      </c>
      <c r="C419" s="45">
        <v>33</v>
      </c>
      <c r="D419" s="47">
        <f>VLOOKUP(Добавить18[[#This Row],[Товар]],Итоговая!$G$1:$H$14,2,0)*Добавить18[[#This Row],[количество_единиц_товара]]</f>
        <v>72600</v>
      </c>
      <c r="E419" s="45" t="s">
        <v>69</v>
      </c>
      <c r="F419" s="45" t="s">
        <v>94</v>
      </c>
    </row>
    <row r="420" spans="1:6" x14ac:dyDescent="0.3">
      <c r="A420" s="44">
        <v>44187.523848356483</v>
      </c>
      <c r="B420" s="45" t="s">
        <v>49</v>
      </c>
      <c r="C420" s="45">
        <v>22</v>
      </c>
      <c r="D420" s="47">
        <f>VLOOKUP(Добавить18[[#This Row],[Товар]],Итоговая!$G$1:$H$14,2,0)*Добавить18[[#This Row],[количество_единиц_товара]]</f>
        <v>68200</v>
      </c>
      <c r="E420" s="45" t="s">
        <v>70</v>
      </c>
      <c r="F420" s="45" t="s">
        <v>94</v>
      </c>
    </row>
    <row r="421" spans="1:6" x14ac:dyDescent="0.3">
      <c r="A421" s="44">
        <v>44189.0198584838</v>
      </c>
      <c r="B421" s="45" t="s">
        <v>56</v>
      </c>
      <c r="C421" s="45">
        <v>18</v>
      </c>
      <c r="D421" s="47">
        <f>VLOOKUP(Добавить18[[#This Row],[Товар]],Итоговая!$G$1:$H$14,2,0)*Добавить18[[#This Row],[количество_единиц_товара]]</f>
        <v>28800</v>
      </c>
      <c r="E421" s="45" t="s">
        <v>69</v>
      </c>
      <c r="F421" s="45" t="s">
        <v>94</v>
      </c>
    </row>
    <row r="422" spans="1:6" x14ac:dyDescent="0.3">
      <c r="A422" s="44">
        <v>44195.623997766204</v>
      </c>
      <c r="B422" s="45" t="s">
        <v>52</v>
      </c>
      <c r="C422" s="45">
        <v>20</v>
      </c>
      <c r="D422" s="47">
        <f>VLOOKUP(Добавить18[[#This Row],[Товар]],Итоговая!$G$1:$H$14,2,0)*Добавить18[[#This Row],[количество_единиц_товара]]</f>
        <v>13600</v>
      </c>
      <c r="E422" s="45" t="s">
        <v>69</v>
      </c>
      <c r="F422" s="45" t="s">
        <v>94</v>
      </c>
    </row>
    <row r="423" spans="1:6" x14ac:dyDescent="0.3">
      <c r="A423" s="44">
        <v>44203.02546513889</v>
      </c>
      <c r="B423" s="45" t="s">
        <v>52</v>
      </c>
      <c r="C423" s="45">
        <v>14</v>
      </c>
      <c r="D423" s="47">
        <f>VLOOKUP(Добавить18[[#This Row],[Товар]],Итоговая!$G$1:$H$14,2,0)*Добавить18[[#This Row],[количество_единиц_товара]]</f>
        <v>9520</v>
      </c>
      <c r="E423" s="45" t="s">
        <v>69</v>
      </c>
      <c r="F423" s="45" t="s">
        <v>94</v>
      </c>
    </row>
    <row r="424" spans="1:6" x14ac:dyDescent="0.3">
      <c r="A424" s="44">
        <v>44205.187514664351</v>
      </c>
      <c r="B424" s="45" t="s">
        <v>59</v>
      </c>
      <c r="C424" s="45">
        <v>13</v>
      </c>
      <c r="D424" s="47">
        <f>VLOOKUP(Добавить18[[#This Row],[Товар]],Итоговая!$G$1:$H$14,2,0)*Добавить18[[#This Row],[количество_единиц_товара]]</f>
        <v>26000</v>
      </c>
      <c r="E424" s="45" t="s">
        <v>69</v>
      </c>
      <c r="F424" s="45" t="s">
        <v>94</v>
      </c>
    </row>
    <row r="425" spans="1:6" x14ac:dyDescent="0.3">
      <c r="A425" s="44">
        <v>44207.861115254629</v>
      </c>
      <c r="B425" s="45" t="s">
        <v>57</v>
      </c>
      <c r="C425" s="45">
        <v>36</v>
      </c>
      <c r="D425" s="47">
        <f>VLOOKUP(Добавить18[[#This Row],[Товар]],Итоговая!$G$1:$H$14,2,0)*Добавить18[[#This Row],[количество_единиц_товара]]</f>
        <v>136656</v>
      </c>
      <c r="E425" s="45" t="s">
        <v>70</v>
      </c>
      <c r="F425" s="45" t="s">
        <v>94</v>
      </c>
    </row>
    <row r="426" spans="1:6" x14ac:dyDescent="0.3">
      <c r="A426" s="44">
        <v>44218.993353854166</v>
      </c>
      <c r="B426" s="45" t="s">
        <v>49</v>
      </c>
      <c r="C426" s="45">
        <v>19</v>
      </c>
      <c r="D426" s="47">
        <f>VLOOKUP(Добавить18[[#This Row],[Товар]],Итоговая!$G$1:$H$14,2,0)*Добавить18[[#This Row],[количество_единиц_товара]]</f>
        <v>58900</v>
      </c>
      <c r="E426" s="45" t="s">
        <v>71</v>
      </c>
      <c r="F426" s="45" t="s">
        <v>94</v>
      </c>
    </row>
    <row r="427" spans="1:6" x14ac:dyDescent="0.3">
      <c r="A427" s="44">
        <v>44242.123654618059</v>
      </c>
      <c r="B427" s="45" t="s">
        <v>50</v>
      </c>
      <c r="C427" s="45">
        <v>16</v>
      </c>
      <c r="D427" s="47">
        <f>VLOOKUP(Добавить18[[#This Row],[Товар]],Итоговая!$G$1:$H$14,2,0)*Добавить18[[#This Row],[количество_единиц_товара]]</f>
        <v>35200</v>
      </c>
      <c r="E427" s="45" t="s">
        <v>71</v>
      </c>
      <c r="F427" s="45" t="s">
        <v>94</v>
      </c>
    </row>
    <row r="428" spans="1:6" x14ac:dyDescent="0.3">
      <c r="A428" s="44">
        <v>44245.994954409725</v>
      </c>
      <c r="B428" s="45" t="s">
        <v>49</v>
      </c>
      <c r="C428" s="45">
        <v>32</v>
      </c>
      <c r="D428" s="47">
        <f>VLOOKUP(Добавить18[[#This Row],[Товар]],Итоговая!$G$1:$H$14,2,0)*Добавить18[[#This Row],[количество_единиц_товара]]</f>
        <v>99200</v>
      </c>
      <c r="E428" s="45" t="s">
        <v>71</v>
      </c>
      <c r="F428" s="45" t="s">
        <v>94</v>
      </c>
    </row>
    <row r="429" spans="1:6" x14ac:dyDescent="0.3">
      <c r="A429" s="44">
        <v>44247.632879780096</v>
      </c>
      <c r="B429" s="45" t="s">
        <v>53</v>
      </c>
      <c r="C429" s="45">
        <v>14</v>
      </c>
      <c r="D429" s="47">
        <f>VLOOKUP(Добавить18[[#This Row],[Товар]],Итоговая!$G$1:$H$14,2,0)*Добавить18[[#This Row],[количество_единиц_товара]]</f>
        <v>25032</v>
      </c>
      <c r="E429" s="45" t="s">
        <v>70</v>
      </c>
      <c r="F429" s="45" t="s">
        <v>94</v>
      </c>
    </row>
    <row r="430" spans="1:6" x14ac:dyDescent="0.3">
      <c r="A430" s="44">
        <v>44255.442815057868</v>
      </c>
      <c r="B430" s="45" t="s">
        <v>49</v>
      </c>
      <c r="C430" s="45">
        <v>36</v>
      </c>
      <c r="D430" s="47">
        <f>VLOOKUP(Добавить18[[#This Row],[Товар]],Итоговая!$G$1:$H$14,2,0)*Добавить18[[#This Row],[количество_единиц_товара]]</f>
        <v>111600</v>
      </c>
      <c r="E430" s="45" t="s">
        <v>70</v>
      </c>
      <c r="F430" s="45" t="s">
        <v>94</v>
      </c>
    </row>
    <row r="431" spans="1:6" x14ac:dyDescent="0.3">
      <c r="A431" s="44">
        <v>44274.244473842591</v>
      </c>
      <c r="B431" s="45" t="s">
        <v>56</v>
      </c>
      <c r="C431" s="45">
        <v>12</v>
      </c>
      <c r="D431" s="47">
        <f>VLOOKUP(Добавить18[[#This Row],[Товар]],Итоговая!$G$1:$H$14,2,0)*Добавить18[[#This Row],[количество_единиц_товара]]</f>
        <v>19200</v>
      </c>
      <c r="E431" s="45" t="s">
        <v>70</v>
      </c>
      <c r="F431" s="45" t="s">
        <v>94</v>
      </c>
    </row>
    <row r="432" spans="1:6" x14ac:dyDescent="0.3">
      <c r="A432" s="44">
        <v>44284.638173252315</v>
      </c>
      <c r="B432" s="45" t="s">
        <v>52</v>
      </c>
      <c r="C432" s="45">
        <v>16</v>
      </c>
      <c r="D432" s="47">
        <f>VLOOKUP(Добавить18[[#This Row],[Товар]],Итоговая!$G$1:$H$14,2,0)*Добавить18[[#This Row],[количество_единиц_товара]]</f>
        <v>10880</v>
      </c>
      <c r="E432" s="45" t="s">
        <v>70</v>
      </c>
      <c r="F432" s="45" t="s">
        <v>94</v>
      </c>
    </row>
    <row r="433" spans="1:6" x14ac:dyDescent="0.3">
      <c r="A433" s="44">
        <v>44285.198807523149</v>
      </c>
      <c r="B433" s="45" t="s">
        <v>54</v>
      </c>
      <c r="C433" s="45">
        <v>35</v>
      </c>
      <c r="D433" s="47">
        <f>VLOOKUP(Добавить18[[#This Row],[Товар]],Итоговая!$G$1:$H$14,2,0)*Добавить18[[#This Row],[количество_единиц_товара]]</f>
        <v>85750</v>
      </c>
      <c r="E433" s="45" t="s">
        <v>70</v>
      </c>
      <c r="F433" s="45" t="s">
        <v>94</v>
      </c>
    </row>
    <row r="434" spans="1:6" x14ac:dyDescent="0.3">
      <c r="A434" s="44">
        <v>44295.845820555558</v>
      </c>
      <c r="B434" s="45" t="s">
        <v>57</v>
      </c>
      <c r="C434" s="45">
        <v>28</v>
      </c>
      <c r="D434" s="47">
        <f>VLOOKUP(Добавить18[[#This Row],[Товар]],Итоговая!$G$1:$H$14,2,0)*Добавить18[[#This Row],[количество_единиц_товара]]</f>
        <v>106288</v>
      </c>
      <c r="E434" s="45" t="s">
        <v>70</v>
      </c>
      <c r="F434" s="45" t="s">
        <v>94</v>
      </c>
    </row>
    <row r="435" spans="1:6" x14ac:dyDescent="0.3">
      <c r="A435" s="44">
        <v>44303.150921597226</v>
      </c>
      <c r="B435" s="45" t="s">
        <v>56</v>
      </c>
      <c r="C435" s="45">
        <v>34</v>
      </c>
      <c r="D435" s="47">
        <f>VLOOKUP(Добавить18[[#This Row],[Товар]],Итоговая!$G$1:$H$14,2,0)*Добавить18[[#This Row],[количество_единиц_товара]]</f>
        <v>54400</v>
      </c>
      <c r="E435" s="45" t="s">
        <v>69</v>
      </c>
      <c r="F435" s="45" t="s">
        <v>94</v>
      </c>
    </row>
    <row r="436" spans="1:6" x14ac:dyDescent="0.3">
      <c r="A436" s="44">
        <v>44310.925443425927</v>
      </c>
      <c r="B436" s="45" t="s">
        <v>58</v>
      </c>
      <c r="C436" s="45">
        <v>15</v>
      </c>
      <c r="D436" s="47">
        <f>VLOOKUP(Добавить18[[#This Row],[Товар]],Итоговая!$G$1:$H$14,2,0)*Добавить18[[#This Row],[количество_единиц_товара]]</f>
        <v>66825</v>
      </c>
      <c r="E436" s="45" t="s">
        <v>71</v>
      </c>
      <c r="F436" s="45" t="s">
        <v>94</v>
      </c>
    </row>
    <row r="437" spans="1:6" x14ac:dyDescent="0.3">
      <c r="A437" s="44">
        <v>44316.27633202546</v>
      </c>
      <c r="B437" s="45" t="s">
        <v>58</v>
      </c>
      <c r="C437" s="45">
        <v>19</v>
      </c>
      <c r="D437" s="47">
        <f>VLOOKUP(Добавить18[[#This Row],[Товар]],Итоговая!$G$1:$H$14,2,0)*Добавить18[[#This Row],[количество_единиц_товара]]</f>
        <v>84645</v>
      </c>
      <c r="E437" s="45" t="s">
        <v>70</v>
      </c>
      <c r="F437" s="45" t="s">
        <v>94</v>
      </c>
    </row>
    <row r="438" spans="1:6" x14ac:dyDescent="0.3">
      <c r="A438" s="44">
        <v>44317.184847731478</v>
      </c>
      <c r="B438" s="45" t="s">
        <v>51</v>
      </c>
      <c r="C438" s="45">
        <v>25</v>
      </c>
      <c r="D438" s="47">
        <f>VLOOKUP(Добавить18[[#This Row],[Товар]],Итоговая!$G$1:$H$14,2,0)*Добавить18[[#This Row],[количество_единиц_товара]]</f>
        <v>64000</v>
      </c>
      <c r="E438" s="45" t="s">
        <v>70</v>
      </c>
      <c r="F438" s="45" t="s">
        <v>94</v>
      </c>
    </row>
    <row r="439" spans="1:6" x14ac:dyDescent="0.3">
      <c r="A439" s="44">
        <v>44329.988131030092</v>
      </c>
      <c r="B439" s="45" t="s">
        <v>56</v>
      </c>
      <c r="C439" s="45">
        <v>14</v>
      </c>
      <c r="D439" s="47">
        <f>VLOOKUP(Добавить18[[#This Row],[Товар]],Итоговая!$G$1:$H$14,2,0)*Добавить18[[#This Row],[количество_единиц_товара]]</f>
        <v>22400</v>
      </c>
      <c r="E439" s="45" t="s">
        <v>70</v>
      </c>
      <c r="F439" s="45" t="s">
        <v>94</v>
      </c>
    </row>
    <row r="440" spans="1:6" x14ac:dyDescent="0.3">
      <c r="A440" s="44">
        <v>44331.202741701389</v>
      </c>
      <c r="B440" s="45" t="s">
        <v>58</v>
      </c>
      <c r="C440" s="45">
        <v>26</v>
      </c>
      <c r="D440" s="47">
        <f>VLOOKUP(Добавить18[[#This Row],[Товар]],Итоговая!$G$1:$H$14,2,0)*Добавить18[[#This Row],[количество_единиц_товара]]</f>
        <v>115830</v>
      </c>
      <c r="E440" s="45" t="s">
        <v>70</v>
      </c>
      <c r="F440" s="45" t="s">
        <v>94</v>
      </c>
    </row>
    <row r="441" spans="1:6" x14ac:dyDescent="0.3">
      <c r="A441" s="44">
        <v>44333.725604872685</v>
      </c>
      <c r="B441" s="45" t="s">
        <v>59</v>
      </c>
      <c r="C441" s="45">
        <v>16</v>
      </c>
      <c r="D441" s="47">
        <f>VLOOKUP(Добавить18[[#This Row],[Товар]],Итоговая!$G$1:$H$14,2,0)*Добавить18[[#This Row],[количество_единиц_товара]]</f>
        <v>32000</v>
      </c>
      <c r="E441" s="45" t="s">
        <v>69</v>
      </c>
      <c r="F441" s="45" t="s">
        <v>94</v>
      </c>
    </row>
    <row r="442" spans="1:6" x14ac:dyDescent="0.3">
      <c r="A442" s="44">
        <v>44337.86868446759</v>
      </c>
      <c r="B442" s="45" t="s">
        <v>51</v>
      </c>
      <c r="C442" s="45">
        <v>16</v>
      </c>
      <c r="D442" s="47">
        <f>VLOOKUP(Добавить18[[#This Row],[Товар]],Итоговая!$G$1:$H$14,2,0)*Добавить18[[#This Row],[количество_единиц_товара]]</f>
        <v>40960</v>
      </c>
      <c r="E442" s="45" t="s">
        <v>71</v>
      </c>
      <c r="F442" s="45" t="s">
        <v>94</v>
      </c>
    </row>
    <row r="443" spans="1:6" x14ac:dyDescent="0.3">
      <c r="A443" s="44">
        <v>44342.242623043981</v>
      </c>
      <c r="B443" s="45" t="s">
        <v>50</v>
      </c>
      <c r="C443" s="45">
        <v>14</v>
      </c>
      <c r="D443" s="47">
        <f>VLOOKUP(Добавить18[[#This Row],[Товар]],Итоговая!$G$1:$H$14,2,0)*Добавить18[[#This Row],[количество_единиц_товара]]</f>
        <v>30800</v>
      </c>
      <c r="E443" s="45" t="s">
        <v>70</v>
      </c>
      <c r="F443" s="45" t="s">
        <v>94</v>
      </c>
    </row>
    <row r="444" spans="1:6" x14ac:dyDescent="0.3">
      <c r="A444" s="44">
        <v>44343.426675451388</v>
      </c>
      <c r="B444" s="45" t="s">
        <v>58</v>
      </c>
      <c r="C444" s="45">
        <v>32</v>
      </c>
      <c r="D444" s="47">
        <f>VLOOKUP(Добавить18[[#This Row],[Товар]],Итоговая!$G$1:$H$14,2,0)*Добавить18[[#This Row],[количество_единиц_товара]]</f>
        <v>142560</v>
      </c>
      <c r="E444" s="45" t="s">
        <v>71</v>
      </c>
      <c r="F444" s="45" t="s">
        <v>94</v>
      </c>
    </row>
    <row r="445" spans="1:6" x14ac:dyDescent="0.3">
      <c r="A445" s="44">
        <v>44344.302813425929</v>
      </c>
      <c r="B445" s="45" t="s">
        <v>52</v>
      </c>
      <c r="C445" s="45">
        <v>26</v>
      </c>
      <c r="D445" s="47">
        <f>VLOOKUP(Добавить18[[#This Row],[Товар]],Итоговая!$G$1:$H$14,2,0)*Добавить18[[#This Row],[количество_единиц_товара]]</f>
        <v>17680</v>
      </c>
      <c r="E445" s="45" t="s">
        <v>69</v>
      </c>
      <c r="F445" s="45" t="s">
        <v>94</v>
      </c>
    </row>
    <row r="446" spans="1:6" x14ac:dyDescent="0.3">
      <c r="A446" s="44">
        <v>44353.778658530093</v>
      </c>
      <c r="B446" s="45" t="s">
        <v>51</v>
      </c>
      <c r="C446" s="45">
        <v>23</v>
      </c>
      <c r="D446" s="47">
        <f>VLOOKUP(Добавить18[[#This Row],[Товар]],Итоговая!$G$1:$H$14,2,0)*Добавить18[[#This Row],[количество_единиц_товара]]</f>
        <v>58880</v>
      </c>
      <c r="E446" s="45" t="s">
        <v>70</v>
      </c>
      <c r="F446" s="45" t="s">
        <v>94</v>
      </c>
    </row>
    <row r="447" spans="1:6" x14ac:dyDescent="0.3">
      <c r="A447" s="44">
        <v>44355.612314027778</v>
      </c>
      <c r="B447" s="45" t="s">
        <v>55</v>
      </c>
      <c r="C447" s="45">
        <v>15</v>
      </c>
      <c r="D447" s="47">
        <f>VLOOKUP(Добавить18[[#This Row],[Товар]],Итоговая!$G$1:$H$14,2,0)*Добавить18[[#This Row],[количество_единиц_товара]]</f>
        <v>67500</v>
      </c>
      <c r="E447" s="45" t="s">
        <v>70</v>
      </c>
      <c r="F447" s="45" t="s">
        <v>94</v>
      </c>
    </row>
    <row r="448" spans="1:6" x14ac:dyDescent="0.3">
      <c r="A448" s="44">
        <v>44365.612072557873</v>
      </c>
      <c r="B448" s="45" t="s">
        <v>56</v>
      </c>
      <c r="C448" s="45">
        <v>13</v>
      </c>
      <c r="D448" s="47">
        <f>VLOOKUP(Добавить18[[#This Row],[Товар]],Итоговая!$G$1:$H$14,2,0)*Добавить18[[#This Row],[количество_единиц_товара]]</f>
        <v>20800</v>
      </c>
      <c r="E448" s="45" t="s">
        <v>70</v>
      </c>
      <c r="F448" s="45" t="s">
        <v>94</v>
      </c>
    </row>
    <row r="449" spans="1:6" x14ac:dyDescent="0.3">
      <c r="A449" s="44">
        <v>44382.215314641202</v>
      </c>
      <c r="B449" s="45" t="s">
        <v>52</v>
      </c>
      <c r="C449" s="45">
        <v>22</v>
      </c>
      <c r="D449" s="47">
        <f>VLOOKUP(Добавить18[[#This Row],[Товар]],Итоговая!$G$1:$H$14,2,0)*Добавить18[[#This Row],[количество_единиц_товара]]</f>
        <v>14960</v>
      </c>
      <c r="E449" s="45" t="s">
        <v>69</v>
      </c>
      <c r="F449" s="45" t="s">
        <v>94</v>
      </c>
    </row>
    <row r="450" spans="1:6" x14ac:dyDescent="0.3">
      <c r="A450" s="44">
        <v>44382.554951122685</v>
      </c>
      <c r="B450" s="45" t="s">
        <v>58</v>
      </c>
      <c r="C450" s="45">
        <v>17</v>
      </c>
      <c r="D450" s="47">
        <f>VLOOKUP(Добавить18[[#This Row],[Товар]],Итоговая!$G$1:$H$14,2,0)*Добавить18[[#This Row],[количество_единиц_товара]]</f>
        <v>75735</v>
      </c>
      <c r="E450" s="45" t="s">
        <v>70</v>
      </c>
      <c r="F450" s="45" t="s">
        <v>94</v>
      </c>
    </row>
    <row r="451" spans="1:6" x14ac:dyDescent="0.3">
      <c r="A451" s="44">
        <v>44397.073706747688</v>
      </c>
      <c r="B451" s="45" t="s">
        <v>58</v>
      </c>
      <c r="C451" s="45">
        <v>20</v>
      </c>
      <c r="D451" s="47">
        <f>VLOOKUP(Добавить18[[#This Row],[Товар]],Итоговая!$G$1:$H$14,2,0)*Добавить18[[#This Row],[количество_единиц_товара]]</f>
        <v>89100</v>
      </c>
      <c r="E451" s="45" t="s">
        <v>71</v>
      </c>
      <c r="F451" s="45" t="s">
        <v>94</v>
      </c>
    </row>
    <row r="452" spans="1:6" x14ac:dyDescent="0.3">
      <c r="A452" s="44">
        <v>44397.848769953707</v>
      </c>
      <c r="B452" s="45" t="s">
        <v>51</v>
      </c>
      <c r="C452" s="45">
        <v>30</v>
      </c>
      <c r="D452" s="47">
        <f>VLOOKUP(Добавить18[[#This Row],[Товар]],Итоговая!$G$1:$H$14,2,0)*Добавить18[[#This Row],[количество_единиц_товара]]</f>
        <v>76800</v>
      </c>
      <c r="E452" s="45" t="s">
        <v>70</v>
      </c>
      <c r="F452" s="45" t="s">
        <v>94</v>
      </c>
    </row>
    <row r="453" spans="1:6" x14ac:dyDescent="0.3">
      <c r="A453" s="44">
        <v>44398.800963287038</v>
      </c>
      <c r="B453" s="45" t="s">
        <v>54</v>
      </c>
      <c r="C453" s="45">
        <v>24</v>
      </c>
      <c r="D453" s="47">
        <f>VLOOKUP(Добавить18[[#This Row],[Товар]],Итоговая!$G$1:$H$14,2,0)*Добавить18[[#This Row],[количество_единиц_товара]]</f>
        <v>58800</v>
      </c>
      <c r="E453" s="45" t="s">
        <v>69</v>
      </c>
      <c r="F453" s="45" t="s">
        <v>94</v>
      </c>
    </row>
    <row r="454" spans="1:6" x14ac:dyDescent="0.3">
      <c r="A454" s="44">
        <v>44427.279904525465</v>
      </c>
      <c r="B454" s="45" t="s">
        <v>51</v>
      </c>
      <c r="C454" s="45">
        <v>24</v>
      </c>
      <c r="D454" s="47">
        <f>VLOOKUP(Добавить18[[#This Row],[Товар]],Итоговая!$G$1:$H$14,2,0)*Добавить18[[#This Row],[количество_единиц_товара]]</f>
        <v>61440</v>
      </c>
      <c r="E454" s="45" t="s">
        <v>71</v>
      </c>
      <c r="F454" s="45" t="s">
        <v>94</v>
      </c>
    </row>
    <row r="455" spans="1:6" x14ac:dyDescent="0.3">
      <c r="A455" s="44">
        <v>44428.354315196761</v>
      </c>
      <c r="B455" s="45" t="s">
        <v>54</v>
      </c>
      <c r="C455" s="45">
        <v>22</v>
      </c>
      <c r="D455" s="47">
        <f>VLOOKUP(Добавить18[[#This Row],[Товар]],Итоговая!$G$1:$H$14,2,0)*Добавить18[[#This Row],[количество_единиц_товара]]</f>
        <v>53900</v>
      </c>
      <c r="E455" s="45" t="s">
        <v>70</v>
      </c>
      <c r="F455" s="45" t="s">
        <v>94</v>
      </c>
    </row>
    <row r="456" spans="1:6" x14ac:dyDescent="0.3">
      <c r="A456" s="40">
        <v>42404.648697534722</v>
      </c>
      <c r="B456" s="14" t="s">
        <v>54</v>
      </c>
      <c r="C456" s="14">
        <v>14</v>
      </c>
      <c r="D456" s="47">
        <f>VLOOKUP(Добавить18[[#This Row],[Товар]],Итоговая!$G$1:$H$14,2,0)*Добавить18[[#This Row],[количество_единиц_товара]]</f>
        <v>34300</v>
      </c>
      <c r="E456" s="14" t="s">
        <v>70</v>
      </c>
      <c r="F456" s="14" t="s">
        <v>95</v>
      </c>
    </row>
    <row r="457" spans="1:6" x14ac:dyDescent="0.3">
      <c r="A457" s="40">
        <v>42413.080188101849</v>
      </c>
      <c r="B457" s="14" t="s">
        <v>61</v>
      </c>
      <c r="C457" s="14">
        <v>19</v>
      </c>
      <c r="D457" s="47">
        <f>VLOOKUP(Добавить18[[#This Row],[Товар]],Итоговая!$G$1:$H$14,2,0)*Добавить18[[#This Row],[количество_единиц_товара]]</f>
        <v>65930</v>
      </c>
      <c r="E457" s="14" t="s">
        <v>69</v>
      </c>
      <c r="F457" s="14" t="s">
        <v>95</v>
      </c>
    </row>
    <row r="458" spans="1:6" x14ac:dyDescent="0.3">
      <c r="A458" s="40">
        <v>42417.573578333337</v>
      </c>
      <c r="B458" s="14" t="s">
        <v>58</v>
      </c>
      <c r="C458" s="14">
        <v>26</v>
      </c>
      <c r="D458" s="47">
        <f>VLOOKUP(Добавить18[[#This Row],[Товар]],Итоговая!$G$1:$H$14,2,0)*Добавить18[[#This Row],[количество_единиц_товара]]</f>
        <v>115830</v>
      </c>
      <c r="E458" s="14" t="s">
        <v>69</v>
      </c>
      <c r="F458" s="14" t="s">
        <v>95</v>
      </c>
    </row>
    <row r="459" spans="1:6" x14ac:dyDescent="0.3">
      <c r="A459" s="40">
        <v>42418.724207025465</v>
      </c>
      <c r="B459" s="14" t="s">
        <v>52</v>
      </c>
      <c r="C459" s="14">
        <v>26</v>
      </c>
      <c r="D459" s="47">
        <f>VLOOKUP(Добавить18[[#This Row],[Товар]],Итоговая!$G$1:$H$14,2,0)*Добавить18[[#This Row],[количество_единиц_товара]]</f>
        <v>17680</v>
      </c>
      <c r="E459" s="14" t="s">
        <v>69</v>
      </c>
      <c r="F459" s="14" t="s">
        <v>95</v>
      </c>
    </row>
    <row r="460" spans="1:6" x14ac:dyDescent="0.3">
      <c r="A460" s="40">
        <v>42429.496737662033</v>
      </c>
      <c r="B460" s="14" t="s">
        <v>52</v>
      </c>
      <c r="C460" s="14">
        <v>25</v>
      </c>
      <c r="D460" s="47">
        <f>VLOOKUP(Добавить18[[#This Row],[Товар]],Итоговая!$G$1:$H$14,2,0)*Добавить18[[#This Row],[количество_единиц_товара]]</f>
        <v>17000</v>
      </c>
      <c r="E460" s="14" t="s">
        <v>69</v>
      </c>
      <c r="F460" s="14" t="s">
        <v>95</v>
      </c>
    </row>
    <row r="461" spans="1:6" x14ac:dyDescent="0.3">
      <c r="A461" s="40">
        <v>42438.528191342593</v>
      </c>
      <c r="B461" s="14" t="s">
        <v>52</v>
      </c>
      <c r="C461" s="14">
        <v>24</v>
      </c>
      <c r="D461" s="47">
        <f>VLOOKUP(Добавить18[[#This Row],[Товар]],Итоговая!$G$1:$H$14,2,0)*Добавить18[[#This Row],[количество_единиц_товара]]</f>
        <v>16320</v>
      </c>
      <c r="E461" s="14" t="s">
        <v>69</v>
      </c>
      <c r="F461" s="14" t="s">
        <v>95</v>
      </c>
    </row>
    <row r="462" spans="1:6" x14ac:dyDescent="0.3">
      <c r="A462" s="40">
        <v>42444.703488368054</v>
      </c>
      <c r="B462" s="14" t="s">
        <v>59</v>
      </c>
      <c r="C462" s="14">
        <v>17</v>
      </c>
      <c r="D462" s="47">
        <f>VLOOKUP(Добавить18[[#This Row],[Товар]],Итоговая!$G$1:$H$14,2,0)*Добавить18[[#This Row],[количество_единиц_товара]]</f>
        <v>34000</v>
      </c>
      <c r="E462" s="14" t="s">
        <v>69</v>
      </c>
      <c r="F462" s="14" t="s">
        <v>95</v>
      </c>
    </row>
    <row r="463" spans="1:6" x14ac:dyDescent="0.3">
      <c r="A463" s="40">
        <v>42449.18440697917</v>
      </c>
      <c r="B463" s="14" t="s">
        <v>52</v>
      </c>
      <c r="C463" s="14">
        <v>21</v>
      </c>
      <c r="D463" s="47">
        <f>VLOOKUP(Добавить18[[#This Row],[Товар]],Итоговая!$G$1:$H$14,2,0)*Добавить18[[#This Row],[количество_единиц_товара]]</f>
        <v>14280</v>
      </c>
      <c r="E463" s="14" t="s">
        <v>69</v>
      </c>
      <c r="F463" s="14" t="s">
        <v>95</v>
      </c>
    </row>
    <row r="464" spans="1:6" x14ac:dyDescent="0.3">
      <c r="A464" s="40">
        <v>42457.657371574074</v>
      </c>
      <c r="B464" s="14" t="s">
        <v>52</v>
      </c>
      <c r="C464" s="14">
        <v>29</v>
      </c>
      <c r="D464" s="47">
        <f>VLOOKUP(Добавить18[[#This Row],[Товар]],Итоговая!$G$1:$H$14,2,0)*Добавить18[[#This Row],[количество_единиц_товара]]</f>
        <v>19720</v>
      </c>
      <c r="E464" s="14" t="s">
        <v>69</v>
      </c>
      <c r="F464" s="14" t="s">
        <v>95</v>
      </c>
    </row>
    <row r="465" spans="1:6" x14ac:dyDescent="0.3">
      <c r="A465" s="40">
        <v>42460.788467824073</v>
      </c>
      <c r="B465" s="14" t="s">
        <v>59</v>
      </c>
      <c r="C465" s="14">
        <v>23</v>
      </c>
      <c r="D465" s="47">
        <f>VLOOKUP(Добавить18[[#This Row],[Товар]],Итоговая!$G$1:$H$14,2,0)*Добавить18[[#This Row],[количество_единиц_товара]]</f>
        <v>46000</v>
      </c>
      <c r="E465" s="14" t="s">
        <v>69</v>
      </c>
      <c r="F465" s="14" t="s">
        <v>95</v>
      </c>
    </row>
    <row r="466" spans="1:6" x14ac:dyDescent="0.3">
      <c r="A466" s="40">
        <v>42462.717956608794</v>
      </c>
      <c r="B466" s="14" t="s">
        <v>52</v>
      </c>
      <c r="C466" s="14">
        <v>14</v>
      </c>
      <c r="D466" s="47">
        <f>VLOOKUP(Добавить18[[#This Row],[Товар]],Итоговая!$G$1:$H$14,2,0)*Добавить18[[#This Row],[количество_единиц_товара]]</f>
        <v>9520</v>
      </c>
      <c r="E466" s="14" t="s">
        <v>69</v>
      </c>
      <c r="F466" s="14" t="s">
        <v>95</v>
      </c>
    </row>
    <row r="467" spans="1:6" x14ac:dyDescent="0.3">
      <c r="A467" s="40">
        <v>42472.484215648146</v>
      </c>
      <c r="B467" s="14" t="s">
        <v>56</v>
      </c>
      <c r="C467" s="14">
        <v>22</v>
      </c>
      <c r="D467" s="47">
        <f>VLOOKUP(Добавить18[[#This Row],[Товар]],Итоговая!$G$1:$H$14,2,0)*Добавить18[[#This Row],[количество_единиц_товара]]</f>
        <v>35200</v>
      </c>
      <c r="E467" s="14" t="s">
        <v>69</v>
      </c>
      <c r="F467" s="14" t="s">
        <v>95</v>
      </c>
    </row>
    <row r="468" spans="1:6" x14ac:dyDescent="0.3">
      <c r="A468" s="40">
        <v>42473.187192106481</v>
      </c>
      <c r="B468" s="14" t="s">
        <v>51</v>
      </c>
      <c r="C468" s="14">
        <v>26</v>
      </c>
      <c r="D468" s="47">
        <f>VLOOKUP(Добавить18[[#This Row],[Товар]],Итоговая!$G$1:$H$14,2,0)*Добавить18[[#This Row],[количество_единиц_товара]]</f>
        <v>66560</v>
      </c>
      <c r="E468" s="14" t="s">
        <v>69</v>
      </c>
      <c r="F468" s="14" t="s">
        <v>95</v>
      </c>
    </row>
    <row r="469" spans="1:6" x14ac:dyDescent="0.3">
      <c r="A469" s="40">
        <v>42486.335559525462</v>
      </c>
      <c r="B469" s="14" t="s">
        <v>59</v>
      </c>
      <c r="C469" s="14">
        <v>25</v>
      </c>
      <c r="D469" s="47">
        <f>VLOOKUP(Добавить18[[#This Row],[Товар]],Итоговая!$G$1:$H$14,2,0)*Добавить18[[#This Row],[количество_единиц_товара]]</f>
        <v>50000</v>
      </c>
      <c r="E469" s="14" t="s">
        <v>69</v>
      </c>
      <c r="F469" s="14" t="s">
        <v>95</v>
      </c>
    </row>
    <row r="470" spans="1:6" x14ac:dyDescent="0.3">
      <c r="A470" s="40">
        <v>42487.322452280096</v>
      </c>
      <c r="B470" s="14" t="s">
        <v>49</v>
      </c>
      <c r="C470" s="14">
        <v>19</v>
      </c>
      <c r="D470" s="47">
        <f>VLOOKUP(Добавить18[[#This Row],[Товар]],Итоговая!$G$1:$H$14,2,0)*Добавить18[[#This Row],[количество_единиц_товара]]</f>
        <v>58900</v>
      </c>
      <c r="E470" s="14" t="s">
        <v>69</v>
      </c>
      <c r="F470" s="14" t="s">
        <v>95</v>
      </c>
    </row>
    <row r="471" spans="1:6" x14ac:dyDescent="0.3">
      <c r="A471" s="40">
        <v>42504.576062141205</v>
      </c>
      <c r="B471" s="14" t="s">
        <v>59</v>
      </c>
      <c r="C471" s="14">
        <v>21</v>
      </c>
      <c r="D471" s="47">
        <f>VLOOKUP(Добавить18[[#This Row],[Товар]],Итоговая!$G$1:$H$14,2,0)*Добавить18[[#This Row],[количество_единиц_товара]]</f>
        <v>42000</v>
      </c>
      <c r="E471" s="14" t="s">
        <v>69</v>
      </c>
      <c r="F471" s="14" t="s">
        <v>95</v>
      </c>
    </row>
    <row r="472" spans="1:6" x14ac:dyDescent="0.3">
      <c r="A472" s="40">
        <v>42506.099814398149</v>
      </c>
      <c r="B472" s="14" t="s">
        <v>57</v>
      </c>
      <c r="C472" s="14">
        <v>27</v>
      </c>
      <c r="D472" s="47">
        <f>VLOOKUP(Добавить18[[#This Row],[Товар]],Итоговая!$G$1:$H$14,2,0)*Добавить18[[#This Row],[количество_единиц_товара]]</f>
        <v>102492</v>
      </c>
      <c r="E472" s="14" t="s">
        <v>70</v>
      </c>
      <c r="F472" s="14" t="s">
        <v>95</v>
      </c>
    </row>
    <row r="473" spans="1:6" x14ac:dyDescent="0.3">
      <c r="A473" s="40">
        <v>42508.577199594911</v>
      </c>
      <c r="B473" s="14" t="s">
        <v>52</v>
      </c>
      <c r="C473" s="14">
        <v>34</v>
      </c>
      <c r="D473" s="47">
        <f>VLOOKUP(Добавить18[[#This Row],[Товар]],Итоговая!$G$1:$H$14,2,0)*Добавить18[[#This Row],[количество_единиц_товара]]</f>
        <v>23120</v>
      </c>
      <c r="E473" s="14" t="s">
        <v>69</v>
      </c>
      <c r="F473" s="14" t="s">
        <v>95</v>
      </c>
    </row>
    <row r="474" spans="1:6" x14ac:dyDescent="0.3">
      <c r="A474" s="40">
        <v>42519.669952870368</v>
      </c>
      <c r="B474" s="14" t="s">
        <v>52</v>
      </c>
      <c r="C474" s="14">
        <v>17</v>
      </c>
      <c r="D474" s="47">
        <f>VLOOKUP(Добавить18[[#This Row],[Товар]],Итоговая!$G$1:$H$14,2,0)*Добавить18[[#This Row],[количество_единиц_товара]]</f>
        <v>11560</v>
      </c>
      <c r="E474" s="14" t="s">
        <v>70</v>
      </c>
      <c r="F474" s="14" t="s">
        <v>95</v>
      </c>
    </row>
    <row r="475" spans="1:6" x14ac:dyDescent="0.3">
      <c r="A475" s="40">
        <v>42520.45313144676</v>
      </c>
      <c r="B475" s="14" t="s">
        <v>52</v>
      </c>
      <c r="C475" s="14">
        <v>33</v>
      </c>
      <c r="D475" s="47">
        <f>VLOOKUP(Добавить18[[#This Row],[Товар]],Итоговая!$G$1:$H$14,2,0)*Добавить18[[#This Row],[количество_единиц_товара]]</f>
        <v>22440</v>
      </c>
      <c r="E475" s="14" t="s">
        <v>69</v>
      </c>
      <c r="F475" s="14" t="s">
        <v>95</v>
      </c>
    </row>
    <row r="476" spans="1:6" x14ac:dyDescent="0.3">
      <c r="A476" s="40">
        <v>42539.79836724537</v>
      </c>
      <c r="B476" s="14" t="s">
        <v>52</v>
      </c>
      <c r="C476" s="14">
        <v>17</v>
      </c>
      <c r="D476" s="47">
        <f>VLOOKUP(Добавить18[[#This Row],[Товар]],Итоговая!$G$1:$H$14,2,0)*Добавить18[[#This Row],[количество_единиц_товара]]</f>
        <v>11560</v>
      </c>
      <c r="E476" s="14" t="s">
        <v>70</v>
      </c>
      <c r="F476" s="14" t="s">
        <v>95</v>
      </c>
    </row>
    <row r="477" spans="1:6" x14ac:dyDescent="0.3">
      <c r="A477" s="40">
        <v>42546.354357719909</v>
      </c>
      <c r="B477" s="14" t="s">
        <v>59</v>
      </c>
      <c r="C477" s="14">
        <v>16</v>
      </c>
      <c r="D477" s="47">
        <f>VLOOKUP(Добавить18[[#This Row],[Товар]],Итоговая!$G$1:$H$14,2,0)*Добавить18[[#This Row],[количество_единиц_товара]]</f>
        <v>32000</v>
      </c>
      <c r="E477" s="14" t="s">
        <v>69</v>
      </c>
      <c r="F477" s="14" t="s">
        <v>95</v>
      </c>
    </row>
    <row r="478" spans="1:6" x14ac:dyDescent="0.3">
      <c r="A478" s="40">
        <v>42546.577192418983</v>
      </c>
      <c r="B478" s="14" t="s">
        <v>53</v>
      </c>
      <c r="C478" s="14">
        <v>12</v>
      </c>
      <c r="D478" s="47">
        <f>VLOOKUP(Добавить18[[#This Row],[Товар]],Итоговая!$G$1:$H$14,2,0)*Добавить18[[#This Row],[количество_единиц_товара]]</f>
        <v>21456</v>
      </c>
      <c r="E478" s="14" t="s">
        <v>70</v>
      </c>
      <c r="F478" s="14" t="s">
        <v>95</v>
      </c>
    </row>
    <row r="479" spans="1:6" x14ac:dyDescent="0.3">
      <c r="A479" s="40">
        <v>42549.265516979169</v>
      </c>
      <c r="B479" s="14" t="s">
        <v>61</v>
      </c>
      <c r="C479" s="14">
        <v>37</v>
      </c>
      <c r="D479" s="47">
        <f>VLOOKUP(Добавить18[[#This Row],[Товар]],Итоговая!$G$1:$H$14,2,0)*Добавить18[[#This Row],[количество_единиц_товара]]</f>
        <v>128390</v>
      </c>
      <c r="E479" s="14" t="s">
        <v>69</v>
      </c>
      <c r="F479" s="14" t="s">
        <v>95</v>
      </c>
    </row>
    <row r="480" spans="1:6" x14ac:dyDescent="0.3">
      <c r="A480" s="40">
        <v>42561.740375763889</v>
      </c>
      <c r="B480" s="14" t="s">
        <v>56</v>
      </c>
      <c r="C480" s="14">
        <v>12</v>
      </c>
      <c r="D480" s="47">
        <f>VLOOKUP(Добавить18[[#This Row],[Товар]],Итоговая!$G$1:$H$14,2,0)*Добавить18[[#This Row],[количество_единиц_товара]]</f>
        <v>19200</v>
      </c>
      <c r="E480" s="14" t="s">
        <v>70</v>
      </c>
      <c r="F480" s="14" t="s">
        <v>95</v>
      </c>
    </row>
    <row r="481" spans="1:6" x14ac:dyDescent="0.3">
      <c r="A481" s="40">
        <v>42569.795667222221</v>
      </c>
      <c r="B481" s="14" t="s">
        <v>55</v>
      </c>
      <c r="C481" s="14">
        <v>28</v>
      </c>
      <c r="D481" s="47">
        <f>VLOOKUP(Добавить18[[#This Row],[Товар]],Итоговая!$G$1:$H$14,2,0)*Добавить18[[#This Row],[количество_единиц_товара]]</f>
        <v>126000</v>
      </c>
      <c r="E481" s="14" t="s">
        <v>69</v>
      </c>
      <c r="F481" s="14" t="s">
        <v>95</v>
      </c>
    </row>
    <row r="482" spans="1:6" x14ac:dyDescent="0.3">
      <c r="A482" s="40">
        <v>42572.643635972221</v>
      </c>
      <c r="B482" s="14" t="s">
        <v>49</v>
      </c>
      <c r="C482" s="14">
        <v>38</v>
      </c>
      <c r="D482" s="47">
        <f>VLOOKUP(Добавить18[[#This Row],[Товар]],Итоговая!$G$1:$H$14,2,0)*Добавить18[[#This Row],[количество_единиц_товара]]</f>
        <v>117800</v>
      </c>
      <c r="E482" s="14" t="s">
        <v>70</v>
      </c>
      <c r="F482" s="14" t="s">
        <v>95</v>
      </c>
    </row>
    <row r="483" spans="1:6" x14ac:dyDescent="0.3">
      <c r="A483" s="40">
        <v>42576.60563111111</v>
      </c>
      <c r="B483" s="14" t="s">
        <v>51</v>
      </c>
      <c r="C483" s="14">
        <v>39</v>
      </c>
      <c r="D483" s="47">
        <f>VLOOKUP(Добавить18[[#This Row],[Товар]],Итоговая!$G$1:$H$14,2,0)*Добавить18[[#This Row],[количество_единиц_товара]]</f>
        <v>99840</v>
      </c>
      <c r="E483" s="14" t="s">
        <v>70</v>
      </c>
      <c r="F483" s="14" t="s">
        <v>95</v>
      </c>
    </row>
    <row r="484" spans="1:6" x14ac:dyDescent="0.3">
      <c r="A484" s="40">
        <v>42579.518154432873</v>
      </c>
      <c r="B484" s="14" t="s">
        <v>53</v>
      </c>
      <c r="C484" s="14">
        <v>14</v>
      </c>
      <c r="D484" s="47">
        <f>VLOOKUP(Добавить18[[#This Row],[Товар]],Итоговая!$G$1:$H$14,2,0)*Добавить18[[#This Row],[количество_единиц_товара]]</f>
        <v>25032</v>
      </c>
      <c r="E484" s="14" t="s">
        <v>69</v>
      </c>
      <c r="F484" s="14" t="s">
        <v>95</v>
      </c>
    </row>
    <row r="485" spans="1:6" x14ac:dyDescent="0.3">
      <c r="A485" s="40">
        <v>42585.257782546294</v>
      </c>
      <c r="B485" s="14" t="s">
        <v>52</v>
      </c>
      <c r="C485" s="14">
        <v>38</v>
      </c>
      <c r="D485" s="47">
        <f>VLOOKUP(Добавить18[[#This Row],[Товар]],Итоговая!$G$1:$H$14,2,0)*Добавить18[[#This Row],[количество_единиц_товара]]</f>
        <v>25840</v>
      </c>
      <c r="E485" s="14" t="s">
        <v>70</v>
      </c>
      <c r="F485" s="14" t="s">
        <v>95</v>
      </c>
    </row>
    <row r="486" spans="1:6" x14ac:dyDescent="0.3">
      <c r="A486" s="40">
        <v>42590.442238206022</v>
      </c>
      <c r="B486" s="14" t="s">
        <v>58</v>
      </c>
      <c r="C486" s="14">
        <v>12</v>
      </c>
      <c r="D486" s="47">
        <f>VLOOKUP(Добавить18[[#This Row],[Товар]],Итоговая!$G$1:$H$14,2,0)*Добавить18[[#This Row],[количество_единиц_товара]]</f>
        <v>53460</v>
      </c>
      <c r="E486" s="14" t="s">
        <v>69</v>
      </c>
      <c r="F486" s="14" t="s">
        <v>95</v>
      </c>
    </row>
    <row r="487" spans="1:6" x14ac:dyDescent="0.3">
      <c r="A487" s="40">
        <v>42602.105753495372</v>
      </c>
      <c r="B487" s="14" t="s">
        <v>49</v>
      </c>
      <c r="C487" s="14">
        <v>10</v>
      </c>
      <c r="D487" s="47">
        <f>VLOOKUP(Добавить18[[#This Row],[Товар]],Итоговая!$G$1:$H$14,2,0)*Добавить18[[#This Row],[количество_единиц_товара]]</f>
        <v>31000</v>
      </c>
      <c r="E487" s="14" t="s">
        <v>70</v>
      </c>
      <c r="F487" s="14" t="s">
        <v>95</v>
      </c>
    </row>
    <row r="488" spans="1:6" x14ac:dyDescent="0.3">
      <c r="A488" s="40">
        <v>42629.524290266207</v>
      </c>
      <c r="B488" s="14" t="s">
        <v>51</v>
      </c>
      <c r="C488" s="14">
        <v>28</v>
      </c>
      <c r="D488" s="47">
        <f>VLOOKUP(Добавить18[[#This Row],[Товар]],Итоговая!$G$1:$H$14,2,0)*Добавить18[[#This Row],[количество_единиц_товара]]</f>
        <v>71680</v>
      </c>
      <c r="E488" s="14" t="s">
        <v>70</v>
      </c>
      <c r="F488" s="14" t="s">
        <v>95</v>
      </c>
    </row>
    <row r="489" spans="1:6" x14ac:dyDescent="0.3">
      <c r="A489" s="40">
        <v>42650.183848587963</v>
      </c>
      <c r="B489" s="14" t="s">
        <v>54</v>
      </c>
      <c r="C489" s="14">
        <v>34</v>
      </c>
      <c r="D489" s="47">
        <f>VLOOKUP(Добавить18[[#This Row],[Товар]],Итоговая!$G$1:$H$14,2,0)*Добавить18[[#This Row],[количество_единиц_товара]]</f>
        <v>83300</v>
      </c>
      <c r="E489" s="14" t="s">
        <v>70</v>
      </c>
      <c r="F489" s="14" t="s">
        <v>95</v>
      </c>
    </row>
    <row r="490" spans="1:6" x14ac:dyDescent="0.3">
      <c r="A490" s="40">
        <v>42657.715463159722</v>
      </c>
      <c r="B490" s="14" t="s">
        <v>59</v>
      </c>
      <c r="C490" s="14">
        <v>38</v>
      </c>
      <c r="D490" s="47">
        <f>VLOOKUP(Добавить18[[#This Row],[Товар]],Итоговая!$G$1:$H$14,2,0)*Добавить18[[#This Row],[количество_единиц_товара]]</f>
        <v>76000</v>
      </c>
      <c r="E490" s="14" t="s">
        <v>70</v>
      </c>
      <c r="F490" s="14" t="s">
        <v>95</v>
      </c>
    </row>
    <row r="491" spans="1:6" x14ac:dyDescent="0.3">
      <c r="A491" s="40">
        <v>42659.600522546294</v>
      </c>
      <c r="B491" s="14" t="s">
        <v>54</v>
      </c>
      <c r="C491" s="14">
        <v>24</v>
      </c>
      <c r="D491" s="47">
        <f>VLOOKUP(Добавить18[[#This Row],[Товар]],Итоговая!$G$1:$H$14,2,0)*Добавить18[[#This Row],[количество_единиц_товара]]</f>
        <v>58800</v>
      </c>
      <c r="E491" s="14" t="s">
        <v>69</v>
      </c>
      <c r="F491" s="14" t="s">
        <v>95</v>
      </c>
    </row>
    <row r="492" spans="1:6" x14ac:dyDescent="0.3">
      <c r="A492" s="40">
        <v>42665.069041516203</v>
      </c>
      <c r="B492" s="14" t="s">
        <v>51</v>
      </c>
      <c r="C492" s="14">
        <v>15</v>
      </c>
      <c r="D492" s="47">
        <f>VLOOKUP(Добавить18[[#This Row],[Товар]],Итоговая!$G$1:$H$14,2,0)*Добавить18[[#This Row],[количество_единиц_товара]]</f>
        <v>38400</v>
      </c>
      <c r="E492" s="14" t="s">
        <v>69</v>
      </c>
      <c r="F492" s="14" t="s">
        <v>95</v>
      </c>
    </row>
    <row r="493" spans="1:6" x14ac:dyDescent="0.3">
      <c r="A493" s="40">
        <v>42665.785762569445</v>
      </c>
      <c r="B493" s="14" t="s">
        <v>50</v>
      </c>
      <c r="C493" s="14">
        <v>14</v>
      </c>
      <c r="D493" s="47">
        <f>VLOOKUP(Добавить18[[#This Row],[Товар]],Итоговая!$G$1:$H$14,2,0)*Добавить18[[#This Row],[количество_единиц_товара]]</f>
        <v>30800</v>
      </c>
      <c r="E493" s="14" t="s">
        <v>69</v>
      </c>
      <c r="F493" s="14" t="s">
        <v>95</v>
      </c>
    </row>
    <row r="494" spans="1:6" x14ac:dyDescent="0.3">
      <c r="A494" s="40">
        <v>42679.1372625</v>
      </c>
      <c r="B494" s="14" t="s">
        <v>49</v>
      </c>
      <c r="C494" s="14">
        <v>29</v>
      </c>
      <c r="D494" s="47">
        <f>VLOOKUP(Добавить18[[#This Row],[Товар]],Итоговая!$G$1:$H$14,2,0)*Добавить18[[#This Row],[количество_единиц_товара]]</f>
        <v>89900</v>
      </c>
      <c r="E494" s="14" t="s">
        <v>70</v>
      </c>
      <c r="F494" s="14" t="s">
        <v>95</v>
      </c>
    </row>
    <row r="495" spans="1:6" x14ac:dyDescent="0.3">
      <c r="A495" s="40">
        <v>42700.32453672454</v>
      </c>
      <c r="B495" s="14" t="s">
        <v>52</v>
      </c>
      <c r="C495" s="14">
        <v>13</v>
      </c>
      <c r="D495" s="47">
        <f>VLOOKUP(Добавить18[[#This Row],[Товар]],Итоговая!$G$1:$H$14,2,0)*Добавить18[[#This Row],[количество_единиц_товара]]</f>
        <v>8840</v>
      </c>
      <c r="E495" s="14" t="s">
        <v>69</v>
      </c>
      <c r="F495" s="14" t="s">
        <v>95</v>
      </c>
    </row>
    <row r="496" spans="1:6" x14ac:dyDescent="0.3">
      <c r="A496" s="40">
        <v>42704.325360833333</v>
      </c>
      <c r="B496" s="14" t="s">
        <v>49</v>
      </c>
      <c r="C496" s="14">
        <v>14</v>
      </c>
      <c r="D496" s="47">
        <f>VLOOKUP(Добавить18[[#This Row],[Товар]],Итоговая!$G$1:$H$14,2,0)*Добавить18[[#This Row],[количество_единиц_товара]]</f>
        <v>43400</v>
      </c>
      <c r="E496" s="14" t="s">
        <v>69</v>
      </c>
      <c r="F496" s="14" t="s">
        <v>95</v>
      </c>
    </row>
    <row r="497" spans="1:6" x14ac:dyDescent="0.3">
      <c r="A497" s="40">
        <v>42722.148854375002</v>
      </c>
      <c r="B497" s="14" t="s">
        <v>49</v>
      </c>
      <c r="C497" s="14">
        <v>22</v>
      </c>
      <c r="D497" s="47">
        <f>VLOOKUP(Добавить18[[#This Row],[Товар]],Итоговая!$G$1:$H$14,2,0)*Добавить18[[#This Row],[количество_единиц_товара]]</f>
        <v>68200</v>
      </c>
      <c r="E497" s="14" t="s">
        <v>69</v>
      </c>
      <c r="F497" s="14" t="s">
        <v>95</v>
      </c>
    </row>
    <row r="498" spans="1:6" x14ac:dyDescent="0.3">
      <c r="A498" s="40">
        <v>42729.719786400463</v>
      </c>
      <c r="B498" s="14" t="s">
        <v>55</v>
      </c>
      <c r="C498" s="14">
        <v>25</v>
      </c>
      <c r="D498" s="47">
        <f>VLOOKUP(Добавить18[[#This Row],[Товар]],Итоговая!$G$1:$H$14,2,0)*Добавить18[[#This Row],[количество_единиц_товара]]</f>
        <v>112500</v>
      </c>
      <c r="E498" s="14" t="s">
        <v>70</v>
      </c>
      <c r="F498" s="14" t="s">
        <v>95</v>
      </c>
    </row>
    <row r="499" spans="1:6" x14ac:dyDescent="0.3">
      <c r="A499" s="40">
        <v>42732.65422222222</v>
      </c>
      <c r="B499" s="14" t="s">
        <v>49</v>
      </c>
      <c r="C499" s="14">
        <v>22</v>
      </c>
      <c r="D499" s="47">
        <f>VLOOKUP(Добавить18[[#This Row],[Товар]],Итоговая!$G$1:$H$14,2,0)*Добавить18[[#This Row],[количество_единиц_товара]]</f>
        <v>68200</v>
      </c>
      <c r="E499" s="14" t="s">
        <v>69</v>
      </c>
      <c r="F499" s="14" t="s">
        <v>95</v>
      </c>
    </row>
    <row r="500" spans="1:6" x14ac:dyDescent="0.3">
      <c r="A500" s="40">
        <v>42759.822814791667</v>
      </c>
      <c r="B500" s="14" t="s">
        <v>49</v>
      </c>
      <c r="C500" s="14">
        <v>22</v>
      </c>
      <c r="D500" s="47">
        <f>VLOOKUP(Добавить18[[#This Row],[Товар]],Итоговая!$G$1:$H$14,2,0)*Добавить18[[#This Row],[количество_единиц_товара]]</f>
        <v>68200</v>
      </c>
      <c r="E500" s="14" t="s">
        <v>69</v>
      </c>
      <c r="F500" s="14" t="s">
        <v>95</v>
      </c>
    </row>
    <row r="501" spans="1:6" x14ac:dyDescent="0.3">
      <c r="A501" s="40">
        <v>42769.665291921294</v>
      </c>
      <c r="B501" s="14" t="s">
        <v>56</v>
      </c>
      <c r="C501" s="14">
        <v>30</v>
      </c>
      <c r="D501" s="47">
        <f>VLOOKUP(Добавить18[[#This Row],[Товар]],Итоговая!$G$1:$H$14,2,0)*Добавить18[[#This Row],[количество_единиц_товара]]</f>
        <v>48000</v>
      </c>
      <c r="E501" s="14" t="s">
        <v>69</v>
      </c>
      <c r="F501" s="14" t="s">
        <v>95</v>
      </c>
    </row>
    <row r="502" spans="1:6" x14ac:dyDescent="0.3">
      <c r="A502" s="40">
        <v>42773.062951759261</v>
      </c>
      <c r="B502" s="14" t="s">
        <v>52</v>
      </c>
      <c r="C502" s="14">
        <v>11</v>
      </c>
      <c r="D502" s="47">
        <f>VLOOKUP(Добавить18[[#This Row],[Товар]],Итоговая!$G$1:$H$14,2,0)*Добавить18[[#This Row],[количество_единиц_товара]]</f>
        <v>7480</v>
      </c>
      <c r="E502" s="14" t="s">
        <v>69</v>
      </c>
      <c r="F502" s="14" t="s">
        <v>95</v>
      </c>
    </row>
    <row r="503" spans="1:6" x14ac:dyDescent="0.3">
      <c r="A503" s="40">
        <v>42783.124194699078</v>
      </c>
      <c r="B503" s="14" t="s">
        <v>59</v>
      </c>
      <c r="C503" s="14">
        <v>35</v>
      </c>
      <c r="D503" s="47">
        <f>VLOOKUP(Добавить18[[#This Row],[Товар]],Итоговая!$G$1:$H$14,2,0)*Добавить18[[#This Row],[количество_единиц_товара]]</f>
        <v>70000</v>
      </c>
      <c r="E503" s="14" t="s">
        <v>69</v>
      </c>
      <c r="F503" s="14" t="s">
        <v>95</v>
      </c>
    </row>
    <row r="504" spans="1:6" x14ac:dyDescent="0.3">
      <c r="A504" s="40">
        <v>42785.461353541665</v>
      </c>
      <c r="B504" s="14" t="s">
        <v>51</v>
      </c>
      <c r="C504" s="14">
        <v>19</v>
      </c>
      <c r="D504" s="47">
        <f>VLOOKUP(Добавить18[[#This Row],[Товар]],Итоговая!$G$1:$H$14,2,0)*Добавить18[[#This Row],[количество_единиц_товара]]</f>
        <v>48640</v>
      </c>
      <c r="E504" s="14" t="s">
        <v>69</v>
      </c>
      <c r="F504" s="14" t="s">
        <v>95</v>
      </c>
    </row>
    <row r="505" spans="1:6" x14ac:dyDescent="0.3">
      <c r="A505" s="40">
        <v>42789.679097962966</v>
      </c>
      <c r="B505" s="14" t="s">
        <v>50</v>
      </c>
      <c r="C505" s="14">
        <v>39</v>
      </c>
      <c r="D505" s="47">
        <f>VLOOKUP(Добавить18[[#This Row],[Товар]],Итоговая!$G$1:$H$14,2,0)*Добавить18[[#This Row],[количество_единиц_товара]]</f>
        <v>85800</v>
      </c>
      <c r="E505" s="14" t="s">
        <v>70</v>
      </c>
      <c r="F505" s="14" t="s">
        <v>95</v>
      </c>
    </row>
    <row r="506" spans="1:6" x14ac:dyDescent="0.3">
      <c r="A506" s="40">
        <v>42797.465700486115</v>
      </c>
      <c r="B506" s="14" t="s">
        <v>50</v>
      </c>
      <c r="C506" s="14">
        <v>24</v>
      </c>
      <c r="D506" s="47">
        <f>VLOOKUP(Добавить18[[#This Row],[Товар]],Итоговая!$G$1:$H$14,2,0)*Добавить18[[#This Row],[количество_единиц_товара]]</f>
        <v>52800</v>
      </c>
      <c r="E506" s="14" t="s">
        <v>70</v>
      </c>
      <c r="F506" s="14" t="s">
        <v>95</v>
      </c>
    </row>
    <row r="507" spans="1:6" x14ac:dyDescent="0.3">
      <c r="A507" s="40">
        <v>42815.146006770832</v>
      </c>
      <c r="B507" s="14" t="s">
        <v>58</v>
      </c>
      <c r="C507" s="14">
        <v>16</v>
      </c>
      <c r="D507" s="47">
        <f>VLOOKUP(Добавить18[[#This Row],[Товар]],Итоговая!$G$1:$H$14,2,0)*Добавить18[[#This Row],[количество_единиц_товара]]</f>
        <v>71280</v>
      </c>
      <c r="E507" s="14" t="s">
        <v>69</v>
      </c>
      <c r="F507" s="14" t="s">
        <v>95</v>
      </c>
    </row>
    <row r="508" spans="1:6" x14ac:dyDescent="0.3">
      <c r="A508" s="40">
        <v>42815.224258854163</v>
      </c>
      <c r="B508" s="14" t="s">
        <v>53</v>
      </c>
      <c r="C508" s="14">
        <v>14</v>
      </c>
      <c r="D508" s="47">
        <f>VLOOKUP(Добавить18[[#This Row],[Товар]],Итоговая!$G$1:$H$14,2,0)*Добавить18[[#This Row],[количество_единиц_товара]]</f>
        <v>25032</v>
      </c>
      <c r="E508" s="14" t="s">
        <v>70</v>
      </c>
      <c r="F508" s="14" t="s">
        <v>95</v>
      </c>
    </row>
    <row r="509" spans="1:6" x14ac:dyDescent="0.3">
      <c r="A509" s="40">
        <v>42822.095396076387</v>
      </c>
      <c r="B509" s="14" t="s">
        <v>61</v>
      </c>
      <c r="C509" s="14">
        <v>26</v>
      </c>
      <c r="D509" s="47">
        <f>VLOOKUP(Добавить18[[#This Row],[Товар]],Итоговая!$G$1:$H$14,2,0)*Добавить18[[#This Row],[количество_единиц_товара]]</f>
        <v>90220</v>
      </c>
      <c r="E509" s="14" t="s">
        <v>70</v>
      </c>
      <c r="F509" s="14" t="s">
        <v>95</v>
      </c>
    </row>
    <row r="510" spans="1:6" x14ac:dyDescent="0.3">
      <c r="A510" s="40">
        <v>42843.035131932869</v>
      </c>
      <c r="B510" s="14" t="s">
        <v>59</v>
      </c>
      <c r="C510" s="14">
        <v>22</v>
      </c>
      <c r="D510" s="47">
        <f>VLOOKUP(Добавить18[[#This Row],[Товар]],Итоговая!$G$1:$H$14,2,0)*Добавить18[[#This Row],[количество_единиц_товара]]</f>
        <v>44000</v>
      </c>
      <c r="E510" s="14" t="s">
        <v>69</v>
      </c>
      <c r="F510" s="14" t="s">
        <v>95</v>
      </c>
    </row>
    <row r="511" spans="1:6" x14ac:dyDescent="0.3">
      <c r="A511" s="40">
        <v>42853.490557777775</v>
      </c>
      <c r="B511" s="14" t="s">
        <v>61</v>
      </c>
      <c r="C511" s="14">
        <v>18</v>
      </c>
      <c r="D511" s="47">
        <f>VLOOKUP(Добавить18[[#This Row],[Товар]],Итоговая!$G$1:$H$14,2,0)*Добавить18[[#This Row],[количество_единиц_товара]]</f>
        <v>62460</v>
      </c>
      <c r="E511" s="14" t="s">
        <v>70</v>
      </c>
      <c r="F511" s="14" t="s">
        <v>95</v>
      </c>
    </row>
    <row r="512" spans="1:6" x14ac:dyDescent="0.3">
      <c r="A512" s="40">
        <v>42874.043725289353</v>
      </c>
      <c r="B512" s="14" t="s">
        <v>52</v>
      </c>
      <c r="C512" s="14">
        <v>30</v>
      </c>
      <c r="D512" s="47">
        <f>VLOOKUP(Добавить18[[#This Row],[Товар]],Итоговая!$G$1:$H$14,2,0)*Добавить18[[#This Row],[количество_единиц_товара]]</f>
        <v>20400</v>
      </c>
      <c r="E512" s="14" t="s">
        <v>70</v>
      </c>
      <c r="F512" s="14" t="s">
        <v>95</v>
      </c>
    </row>
    <row r="513" spans="1:6" x14ac:dyDescent="0.3">
      <c r="A513" s="40">
        <v>42874.197378287034</v>
      </c>
      <c r="B513" s="14" t="s">
        <v>59</v>
      </c>
      <c r="C513" s="14">
        <v>27</v>
      </c>
      <c r="D513" s="47">
        <f>VLOOKUP(Добавить18[[#This Row],[Товар]],Итоговая!$G$1:$H$14,2,0)*Добавить18[[#This Row],[количество_единиц_товара]]</f>
        <v>54000</v>
      </c>
      <c r="E513" s="14" t="s">
        <v>69</v>
      </c>
      <c r="F513" s="14" t="s">
        <v>95</v>
      </c>
    </row>
    <row r="514" spans="1:6" x14ac:dyDescent="0.3">
      <c r="A514" s="40">
        <v>42876.165669629627</v>
      </c>
      <c r="B514" s="14" t="s">
        <v>59</v>
      </c>
      <c r="C514" s="14">
        <v>13</v>
      </c>
      <c r="D514" s="47">
        <f>VLOOKUP(Добавить18[[#This Row],[Товар]],Итоговая!$G$1:$H$14,2,0)*Добавить18[[#This Row],[количество_единиц_товара]]</f>
        <v>26000</v>
      </c>
      <c r="E514" s="14" t="s">
        <v>70</v>
      </c>
      <c r="F514" s="14" t="s">
        <v>95</v>
      </c>
    </row>
    <row r="515" spans="1:6" x14ac:dyDescent="0.3">
      <c r="A515" s="40">
        <v>42881.192386180555</v>
      </c>
      <c r="B515" s="14" t="s">
        <v>49</v>
      </c>
      <c r="C515" s="14">
        <v>38</v>
      </c>
      <c r="D515" s="47">
        <f>VLOOKUP(Добавить18[[#This Row],[Товар]],Итоговая!$G$1:$H$14,2,0)*Добавить18[[#This Row],[количество_единиц_товара]]</f>
        <v>117800</v>
      </c>
      <c r="E515" s="14" t="s">
        <v>70</v>
      </c>
      <c r="F515" s="14" t="s">
        <v>95</v>
      </c>
    </row>
    <row r="516" spans="1:6" x14ac:dyDescent="0.3">
      <c r="A516" s="40">
        <v>42888.250044953704</v>
      </c>
      <c r="B516" s="14" t="s">
        <v>53</v>
      </c>
      <c r="C516" s="14">
        <v>37</v>
      </c>
      <c r="D516" s="47">
        <f>VLOOKUP(Добавить18[[#This Row],[Товар]],Итоговая!$G$1:$H$14,2,0)*Добавить18[[#This Row],[количество_единиц_товара]]</f>
        <v>66156</v>
      </c>
      <c r="E516" s="14" t="s">
        <v>69</v>
      </c>
      <c r="F516" s="14" t="s">
        <v>95</v>
      </c>
    </row>
    <row r="517" spans="1:6" x14ac:dyDescent="0.3">
      <c r="A517" s="40">
        <v>42894.173551979169</v>
      </c>
      <c r="B517" s="14" t="s">
        <v>59</v>
      </c>
      <c r="C517" s="14">
        <v>33</v>
      </c>
      <c r="D517" s="47">
        <f>VLOOKUP(Добавить18[[#This Row],[Товар]],Итоговая!$G$1:$H$14,2,0)*Добавить18[[#This Row],[количество_единиц_товара]]</f>
        <v>66000</v>
      </c>
      <c r="E517" s="14" t="s">
        <v>69</v>
      </c>
      <c r="F517" s="14" t="s">
        <v>95</v>
      </c>
    </row>
    <row r="518" spans="1:6" x14ac:dyDescent="0.3">
      <c r="A518" s="40">
        <v>42916.869394699075</v>
      </c>
      <c r="B518" s="14" t="s">
        <v>52</v>
      </c>
      <c r="C518" s="14">
        <v>40</v>
      </c>
      <c r="D518" s="47">
        <f>VLOOKUP(Добавить18[[#This Row],[Товар]],Итоговая!$G$1:$H$14,2,0)*Добавить18[[#This Row],[количество_единиц_товара]]</f>
        <v>27200</v>
      </c>
      <c r="E518" s="14" t="s">
        <v>69</v>
      </c>
      <c r="F518" s="14" t="s">
        <v>95</v>
      </c>
    </row>
    <row r="519" spans="1:6" x14ac:dyDescent="0.3">
      <c r="A519" s="40">
        <v>42919.545645370374</v>
      </c>
      <c r="B519" s="14" t="s">
        <v>53</v>
      </c>
      <c r="C519" s="14">
        <v>22</v>
      </c>
      <c r="D519" s="47">
        <f>VLOOKUP(Добавить18[[#This Row],[Товар]],Итоговая!$G$1:$H$14,2,0)*Добавить18[[#This Row],[количество_единиц_товара]]</f>
        <v>39336</v>
      </c>
      <c r="E519" s="14" t="s">
        <v>69</v>
      </c>
      <c r="F519" s="14" t="s">
        <v>95</v>
      </c>
    </row>
    <row r="520" spans="1:6" x14ac:dyDescent="0.3">
      <c r="A520" s="40">
        <v>42921.89684739583</v>
      </c>
      <c r="B520" s="14" t="s">
        <v>56</v>
      </c>
      <c r="C520" s="14">
        <v>16</v>
      </c>
      <c r="D520" s="47">
        <f>VLOOKUP(Добавить18[[#This Row],[Товар]],Итоговая!$G$1:$H$14,2,0)*Добавить18[[#This Row],[количество_единиц_товара]]</f>
        <v>25600</v>
      </c>
      <c r="E520" s="14" t="s">
        <v>69</v>
      </c>
      <c r="F520" s="14" t="s">
        <v>95</v>
      </c>
    </row>
    <row r="521" spans="1:6" x14ac:dyDescent="0.3">
      <c r="A521" s="40">
        <v>42926.071265300925</v>
      </c>
      <c r="B521" s="14" t="s">
        <v>51</v>
      </c>
      <c r="C521" s="14">
        <v>21</v>
      </c>
      <c r="D521" s="47">
        <f>VLOOKUP(Добавить18[[#This Row],[Товар]],Итоговая!$G$1:$H$14,2,0)*Добавить18[[#This Row],[количество_единиц_товара]]</f>
        <v>53760</v>
      </c>
      <c r="E521" s="14" t="s">
        <v>69</v>
      </c>
      <c r="F521" s="14" t="s">
        <v>95</v>
      </c>
    </row>
    <row r="522" spans="1:6" x14ac:dyDescent="0.3">
      <c r="A522" s="40">
        <v>42943.221867372682</v>
      </c>
      <c r="B522" s="14" t="s">
        <v>57</v>
      </c>
      <c r="C522" s="14">
        <v>18</v>
      </c>
      <c r="D522" s="47">
        <f>VLOOKUP(Добавить18[[#This Row],[Товар]],Итоговая!$G$1:$H$14,2,0)*Добавить18[[#This Row],[количество_единиц_товара]]</f>
        <v>68328</v>
      </c>
      <c r="E522" s="14" t="s">
        <v>69</v>
      </c>
      <c r="F522" s="14" t="s">
        <v>95</v>
      </c>
    </row>
    <row r="523" spans="1:6" x14ac:dyDescent="0.3">
      <c r="A523" s="40">
        <v>42951.918684166667</v>
      </c>
      <c r="B523" s="14" t="s">
        <v>58</v>
      </c>
      <c r="C523" s="14">
        <v>19</v>
      </c>
      <c r="D523" s="47">
        <f>VLOOKUP(Добавить18[[#This Row],[Товар]],Итоговая!$G$1:$H$14,2,0)*Добавить18[[#This Row],[количество_единиц_товара]]</f>
        <v>84645</v>
      </c>
      <c r="E523" s="14" t="s">
        <v>69</v>
      </c>
      <c r="F523" s="14" t="s">
        <v>95</v>
      </c>
    </row>
    <row r="524" spans="1:6" x14ac:dyDescent="0.3">
      <c r="A524" s="40">
        <v>42959.524895243056</v>
      </c>
      <c r="B524" s="14" t="s">
        <v>54</v>
      </c>
      <c r="C524" s="14">
        <v>35</v>
      </c>
      <c r="D524" s="47">
        <f>VLOOKUP(Добавить18[[#This Row],[Товар]],Итоговая!$G$1:$H$14,2,0)*Добавить18[[#This Row],[количество_единиц_товара]]</f>
        <v>85750</v>
      </c>
      <c r="E524" s="14" t="s">
        <v>69</v>
      </c>
      <c r="F524" s="14" t="s">
        <v>95</v>
      </c>
    </row>
    <row r="525" spans="1:6" x14ac:dyDescent="0.3">
      <c r="A525" s="40">
        <v>42960.985605844908</v>
      </c>
      <c r="B525" s="14" t="s">
        <v>55</v>
      </c>
      <c r="C525" s="14">
        <v>29</v>
      </c>
      <c r="D525" s="47">
        <f>VLOOKUP(Добавить18[[#This Row],[Товар]],Итоговая!$G$1:$H$14,2,0)*Добавить18[[#This Row],[количество_единиц_товара]]</f>
        <v>130500</v>
      </c>
      <c r="E525" s="14" t="s">
        <v>70</v>
      </c>
      <c r="F525" s="14" t="s">
        <v>95</v>
      </c>
    </row>
    <row r="526" spans="1:6" x14ac:dyDescent="0.3">
      <c r="A526" s="40">
        <v>42976.461908020836</v>
      </c>
      <c r="B526" s="14" t="s">
        <v>56</v>
      </c>
      <c r="C526" s="14">
        <v>31</v>
      </c>
      <c r="D526" s="47">
        <f>VLOOKUP(Добавить18[[#This Row],[Товар]],Итоговая!$G$1:$H$14,2,0)*Добавить18[[#This Row],[количество_единиц_товара]]</f>
        <v>49600</v>
      </c>
      <c r="E526" s="14" t="s">
        <v>70</v>
      </c>
      <c r="F526" s="14" t="s">
        <v>95</v>
      </c>
    </row>
    <row r="527" spans="1:6" x14ac:dyDescent="0.3">
      <c r="A527" s="40">
        <v>42977.014194201387</v>
      </c>
      <c r="B527" s="14" t="s">
        <v>59</v>
      </c>
      <c r="C527" s="14">
        <v>13</v>
      </c>
      <c r="D527" s="47">
        <f>VLOOKUP(Добавить18[[#This Row],[Товар]],Итоговая!$G$1:$H$14,2,0)*Добавить18[[#This Row],[количество_единиц_товара]]</f>
        <v>26000</v>
      </c>
      <c r="E527" s="14" t="s">
        <v>70</v>
      </c>
      <c r="F527" s="14" t="s">
        <v>95</v>
      </c>
    </row>
    <row r="528" spans="1:6" x14ac:dyDescent="0.3">
      <c r="A528" s="40">
        <v>42980.592244201391</v>
      </c>
      <c r="B528" s="14" t="s">
        <v>51</v>
      </c>
      <c r="C528" s="14">
        <v>34</v>
      </c>
      <c r="D528" s="47">
        <f>VLOOKUP(Добавить18[[#This Row],[Товар]],Итоговая!$G$1:$H$14,2,0)*Добавить18[[#This Row],[количество_единиц_товара]]</f>
        <v>87040</v>
      </c>
      <c r="E528" s="14" t="s">
        <v>70</v>
      </c>
      <c r="F528" s="14" t="s">
        <v>95</v>
      </c>
    </row>
    <row r="529" spans="1:6" x14ac:dyDescent="0.3">
      <c r="A529" s="40">
        <v>42990.538094571762</v>
      </c>
      <c r="B529" s="14" t="s">
        <v>49</v>
      </c>
      <c r="C529" s="14">
        <v>21</v>
      </c>
      <c r="D529" s="47">
        <f>VLOOKUP(Добавить18[[#This Row],[Товар]],Итоговая!$G$1:$H$14,2,0)*Добавить18[[#This Row],[количество_единиц_товара]]</f>
        <v>65100</v>
      </c>
      <c r="E529" s="14" t="s">
        <v>70</v>
      </c>
      <c r="F529" s="14" t="s">
        <v>95</v>
      </c>
    </row>
    <row r="530" spans="1:6" x14ac:dyDescent="0.3">
      <c r="A530" s="40">
        <v>42997.644357592595</v>
      </c>
      <c r="B530" s="14" t="s">
        <v>56</v>
      </c>
      <c r="C530" s="14">
        <v>33</v>
      </c>
      <c r="D530" s="47">
        <f>VLOOKUP(Добавить18[[#This Row],[Товар]],Итоговая!$G$1:$H$14,2,0)*Добавить18[[#This Row],[количество_единиц_товара]]</f>
        <v>52800</v>
      </c>
      <c r="E530" s="14" t="s">
        <v>70</v>
      </c>
      <c r="F530" s="14" t="s">
        <v>95</v>
      </c>
    </row>
    <row r="531" spans="1:6" x14ac:dyDescent="0.3">
      <c r="A531" s="40">
        <v>42999.864974780096</v>
      </c>
      <c r="B531" s="14" t="s">
        <v>56</v>
      </c>
      <c r="C531" s="14">
        <v>25</v>
      </c>
      <c r="D531" s="47">
        <f>VLOOKUP(Добавить18[[#This Row],[Товар]],Итоговая!$G$1:$H$14,2,0)*Добавить18[[#This Row],[количество_единиц_товара]]</f>
        <v>40000</v>
      </c>
      <c r="E531" s="14" t="s">
        <v>70</v>
      </c>
      <c r="F531" s="14" t="s">
        <v>95</v>
      </c>
    </row>
    <row r="532" spans="1:6" x14ac:dyDescent="0.3">
      <c r="A532" s="40">
        <v>43006.316276516205</v>
      </c>
      <c r="B532" s="14" t="s">
        <v>60</v>
      </c>
      <c r="C532" s="14">
        <v>12</v>
      </c>
      <c r="D532" s="47">
        <f>VLOOKUP(Добавить18[[#This Row],[Товар]],Итоговая!$G$1:$H$14,2,0)*Добавить18[[#This Row],[количество_единиц_товара]]</f>
        <v>69468</v>
      </c>
      <c r="E532" s="14" t="s">
        <v>70</v>
      </c>
      <c r="F532" s="14" t="s">
        <v>95</v>
      </c>
    </row>
    <row r="533" spans="1:6" x14ac:dyDescent="0.3">
      <c r="A533" s="40">
        <v>43015.558190578704</v>
      </c>
      <c r="B533" s="14" t="s">
        <v>59</v>
      </c>
      <c r="C533" s="14">
        <v>21</v>
      </c>
      <c r="D533" s="47">
        <f>VLOOKUP(Добавить18[[#This Row],[Товар]],Итоговая!$G$1:$H$14,2,0)*Добавить18[[#This Row],[количество_единиц_товара]]</f>
        <v>42000</v>
      </c>
      <c r="E533" s="14" t="s">
        <v>70</v>
      </c>
      <c r="F533" s="14" t="s">
        <v>95</v>
      </c>
    </row>
    <row r="534" spans="1:6" x14ac:dyDescent="0.3">
      <c r="A534" s="40">
        <v>43020.866720648148</v>
      </c>
      <c r="B534" s="14" t="s">
        <v>51</v>
      </c>
      <c r="C534" s="14">
        <v>38</v>
      </c>
      <c r="D534" s="47">
        <f>VLOOKUP(Добавить18[[#This Row],[Товар]],Итоговая!$G$1:$H$14,2,0)*Добавить18[[#This Row],[количество_единиц_товара]]</f>
        <v>97280</v>
      </c>
      <c r="E534" s="14" t="s">
        <v>69</v>
      </c>
      <c r="F534" s="14" t="s">
        <v>95</v>
      </c>
    </row>
    <row r="535" spans="1:6" x14ac:dyDescent="0.3">
      <c r="A535" s="40">
        <v>43028.334933368053</v>
      </c>
      <c r="B535" s="14" t="s">
        <v>54</v>
      </c>
      <c r="C535" s="14">
        <v>36</v>
      </c>
      <c r="D535" s="47">
        <f>VLOOKUP(Добавить18[[#This Row],[Товар]],Итоговая!$G$1:$H$14,2,0)*Добавить18[[#This Row],[количество_единиц_товара]]</f>
        <v>88200</v>
      </c>
      <c r="E535" s="14" t="s">
        <v>69</v>
      </c>
      <c r="F535" s="14" t="s">
        <v>95</v>
      </c>
    </row>
    <row r="536" spans="1:6" x14ac:dyDescent="0.3">
      <c r="A536" s="40">
        <v>43068.569953240738</v>
      </c>
      <c r="B536" s="14" t="s">
        <v>52</v>
      </c>
      <c r="C536" s="14">
        <v>36</v>
      </c>
      <c r="D536" s="47">
        <f>VLOOKUP(Добавить18[[#This Row],[Товар]],Итоговая!$G$1:$H$14,2,0)*Добавить18[[#This Row],[количество_единиц_товара]]</f>
        <v>24480</v>
      </c>
      <c r="E536" s="14" t="s">
        <v>70</v>
      </c>
      <c r="F536" s="14" t="s">
        <v>95</v>
      </c>
    </row>
    <row r="537" spans="1:6" x14ac:dyDescent="0.3">
      <c r="A537" s="40">
        <v>43075.851382800924</v>
      </c>
      <c r="B537" s="14" t="s">
        <v>51</v>
      </c>
      <c r="C537" s="14">
        <v>35</v>
      </c>
      <c r="D537" s="47">
        <f>VLOOKUP(Добавить18[[#This Row],[Товар]],Итоговая!$G$1:$H$14,2,0)*Добавить18[[#This Row],[количество_единиц_товара]]</f>
        <v>89600</v>
      </c>
      <c r="E537" s="14" t="s">
        <v>70</v>
      </c>
      <c r="F537" s="14" t="s">
        <v>95</v>
      </c>
    </row>
    <row r="538" spans="1:6" x14ac:dyDescent="0.3">
      <c r="A538" s="40">
        <v>43086.312631655092</v>
      </c>
      <c r="B538" s="14" t="s">
        <v>58</v>
      </c>
      <c r="C538" s="14">
        <v>32</v>
      </c>
      <c r="D538" s="47">
        <f>VLOOKUP(Добавить18[[#This Row],[Товар]],Итоговая!$G$1:$H$14,2,0)*Добавить18[[#This Row],[количество_единиц_товара]]</f>
        <v>142560</v>
      </c>
      <c r="E538" s="14" t="s">
        <v>70</v>
      </c>
      <c r="F538" s="14" t="s">
        <v>95</v>
      </c>
    </row>
    <row r="539" spans="1:6" x14ac:dyDescent="0.3">
      <c r="A539" s="40">
        <v>43091.284758796297</v>
      </c>
      <c r="B539" s="14" t="s">
        <v>52</v>
      </c>
      <c r="C539" s="14">
        <v>14</v>
      </c>
      <c r="D539" s="47">
        <f>VLOOKUP(Добавить18[[#This Row],[Товар]],Итоговая!$G$1:$H$14,2,0)*Добавить18[[#This Row],[количество_единиц_товара]]</f>
        <v>9520</v>
      </c>
      <c r="E539" s="14" t="s">
        <v>70</v>
      </c>
      <c r="F539" s="14" t="s">
        <v>95</v>
      </c>
    </row>
    <row r="540" spans="1:6" x14ac:dyDescent="0.3">
      <c r="A540" s="40">
        <v>43107.170073645837</v>
      </c>
      <c r="B540" s="14" t="s">
        <v>53</v>
      </c>
      <c r="C540" s="14">
        <v>28</v>
      </c>
      <c r="D540" s="47">
        <f>VLOOKUP(Добавить18[[#This Row],[Товар]],Итоговая!$G$1:$H$14,2,0)*Добавить18[[#This Row],[количество_единиц_товара]]</f>
        <v>50064</v>
      </c>
      <c r="E540" s="14" t="s">
        <v>69</v>
      </c>
      <c r="F540" s="14" t="s">
        <v>95</v>
      </c>
    </row>
    <row r="541" spans="1:6" x14ac:dyDescent="0.3">
      <c r="A541" s="40">
        <v>43107.764571539352</v>
      </c>
      <c r="B541" s="14" t="s">
        <v>49</v>
      </c>
      <c r="C541" s="14">
        <v>33</v>
      </c>
      <c r="D541" s="47">
        <f>VLOOKUP(Добавить18[[#This Row],[Товар]],Итоговая!$G$1:$H$14,2,0)*Добавить18[[#This Row],[количество_единиц_товара]]</f>
        <v>102300</v>
      </c>
      <c r="E541" s="14" t="s">
        <v>70</v>
      </c>
      <c r="F541" s="14" t="s">
        <v>95</v>
      </c>
    </row>
    <row r="542" spans="1:6" x14ac:dyDescent="0.3">
      <c r="A542" s="40">
        <v>43127.834346840275</v>
      </c>
      <c r="B542" s="14" t="s">
        <v>54</v>
      </c>
      <c r="C542" s="14">
        <v>23</v>
      </c>
      <c r="D542" s="47">
        <f>VLOOKUP(Добавить18[[#This Row],[Товар]],Итоговая!$G$1:$H$14,2,0)*Добавить18[[#This Row],[количество_единиц_товара]]</f>
        <v>56350</v>
      </c>
      <c r="E542" s="14" t="s">
        <v>70</v>
      </c>
      <c r="F542" s="14" t="s">
        <v>95</v>
      </c>
    </row>
    <row r="543" spans="1:6" x14ac:dyDescent="0.3">
      <c r="A543" s="40">
        <v>43140.475834502315</v>
      </c>
      <c r="B543" s="14" t="s">
        <v>51</v>
      </c>
      <c r="C543" s="14">
        <v>31</v>
      </c>
      <c r="D543" s="47">
        <f>VLOOKUP(Добавить18[[#This Row],[Товар]],Итоговая!$G$1:$H$14,2,0)*Добавить18[[#This Row],[количество_единиц_товара]]</f>
        <v>79360</v>
      </c>
      <c r="E543" s="14" t="s">
        <v>70</v>
      </c>
      <c r="F543" s="14" t="s">
        <v>95</v>
      </c>
    </row>
    <row r="544" spans="1:6" x14ac:dyDescent="0.3">
      <c r="A544" s="40">
        <v>43141.568806921299</v>
      </c>
      <c r="B544" s="14" t="s">
        <v>53</v>
      </c>
      <c r="C544" s="14">
        <v>31</v>
      </c>
      <c r="D544" s="47">
        <f>VLOOKUP(Добавить18[[#This Row],[Товар]],Итоговая!$G$1:$H$14,2,0)*Добавить18[[#This Row],[количество_единиц_товара]]</f>
        <v>55428</v>
      </c>
      <c r="E544" s="14" t="s">
        <v>69</v>
      </c>
      <c r="F544" s="14" t="s">
        <v>95</v>
      </c>
    </row>
    <row r="545" spans="1:6" x14ac:dyDescent="0.3">
      <c r="A545" s="40">
        <v>43145.113994918982</v>
      </c>
      <c r="B545" s="14" t="s">
        <v>51</v>
      </c>
      <c r="C545" s="14">
        <v>27</v>
      </c>
      <c r="D545" s="47">
        <f>VLOOKUP(Добавить18[[#This Row],[Товар]],Итоговая!$G$1:$H$14,2,0)*Добавить18[[#This Row],[количество_единиц_товара]]</f>
        <v>69120</v>
      </c>
      <c r="E545" s="14" t="s">
        <v>70</v>
      </c>
      <c r="F545" s="14" t="s">
        <v>95</v>
      </c>
    </row>
    <row r="546" spans="1:6" x14ac:dyDescent="0.3">
      <c r="A546" s="40">
        <v>43147.727578067126</v>
      </c>
      <c r="B546" s="14" t="s">
        <v>54</v>
      </c>
      <c r="C546" s="14">
        <v>33</v>
      </c>
      <c r="D546" s="47">
        <f>VLOOKUP(Добавить18[[#This Row],[Товар]],Итоговая!$G$1:$H$14,2,0)*Добавить18[[#This Row],[количество_единиц_товара]]</f>
        <v>80850</v>
      </c>
      <c r="E546" s="14" t="s">
        <v>70</v>
      </c>
      <c r="F546" s="14" t="s">
        <v>95</v>
      </c>
    </row>
    <row r="547" spans="1:6" x14ac:dyDescent="0.3">
      <c r="A547" s="40">
        <v>43164.137730740738</v>
      </c>
      <c r="B547" s="14" t="s">
        <v>60</v>
      </c>
      <c r="C547" s="14">
        <v>24</v>
      </c>
      <c r="D547" s="47">
        <f>VLOOKUP(Добавить18[[#This Row],[Товар]],Итоговая!$G$1:$H$14,2,0)*Добавить18[[#This Row],[количество_единиц_товара]]</f>
        <v>138936</v>
      </c>
      <c r="E547" s="14" t="s">
        <v>70</v>
      </c>
      <c r="F547" s="14" t="s">
        <v>95</v>
      </c>
    </row>
    <row r="548" spans="1:6" x14ac:dyDescent="0.3">
      <c r="A548" s="40">
        <v>43167.610868391203</v>
      </c>
      <c r="B548" s="14" t="s">
        <v>52</v>
      </c>
      <c r="C548" s="14">
        <v>16</v>
      </c>
      <c r="D548" s="47">
        <f>VLOOKUP(Добавить18[[#This Row],[Товар]],Итоговая!$G$1:$H$14,2,0)*Добавить18[[#This Row],[количество_единиц_товара]]</f>
        <v>10880</v>
      </c>
      <c r="E548" s="14" t="s">
        <v>69</v>
      </c>
      <c r="F548" s="14" t="s">
        <v>95</v>
      </c>
    </row>
    <row r="549" spans="1:6" x14ac:dyDescent="0.3">
      <c r="A549" s="40">
        <v>43178.93406122685</v>
      </c>
      <c r="B549" s="14" t="s">
        <v>57</v>
      </c>
      <c r="C549" s="14">
        <v>30</v>
      </c>
      <c r="D549" s="47">
        <f>VLOOKUP(Добавить18[[#This Row],[Товар]],Итоговая!$G$1:$H$14,2,0)*Добавить18[[#This Row],[количество_единиц_товара]]</f>
        <v>113880</v>
      </c>
      <c r="E549" s="14" t="s">
        <v>70</v>
      </c>
      <c r="F549" s="14" t="s">
        <v>95</v>
      </c>
    </row>
    <row r="550" spans="1:6" x14ac:dyDescent="0.3">
      <c r="A550" s="40">
        <v>43219.024043611113</v>
      </c>
      <c r="B550" s="14" t="s">
        <v>54</v>
      </c>
      <c r="C550" s="14">
        <v>27</v>
      </c>
      <c r="D550" s="47">
        <f>VLOOKUP(Добавить18[[#This Row],[Товар]],Итоговая!$G$1:$H$14,2,0)*Добавить18[[#This Row],[количество_единиц_товара]]</f>
        <v>66150</v>
      </c>
      <c r="E550" s="14" t="s">
        <v>70</v>
      </c>
      <c r="F550" s="14" t="s">
        <v>95</v>
      </c>
    </row>
    <row r="551" spans="1:6" x14ac:dyDescent="0.3">
      <c r="A551" s="40">
        <v>43240.870327847224</v>
      </c>
      <c r="B551" s="14" t="s">
        <v>50</v>
      </c>
      <c r="C551" s="14">
        <v>22</v>
      </c>
      <c r="D551" s="47">
        <f>VLOOKUP(Добавить18[[#This Row],[Товар]],Итоговая!$G$1:$H$14,2,0)*Добавить18[[#This Row],[количество_единиц_товара]]</f>
        <v>48400</v>
      </c>
      <c r="E551" s="14" t="s">
        <v>70</v>
      </c>
      <c r="F551" s="14" t="s">
        <v>95</v>
      </c>
    </row>
    <row r="552" spans="1:6" x14ac:dyDescent="0.3">
      <c r="A552" s="40">
        <v>43245.298208217595</v>
      </c>
      <c r="B552" s="14" t="s">
        <v>60</v>
      </c>
      <c r="C552" s="14">
        <v>29</v>
      </c>
      <c r="D552" s="47">
        <f>VLOOKUP(Добавить18[[#This Row],[Товар]],Итоговая!$G$1:$H$14,2,0)*Добавить18[[#This Row],[количество_единиц_товара]]</f>
        <v>167881</v>
      </c>
      <c r="E552" s="14" t="s">
        <v>69</v>
      </c>
      <c r="F552" s="14" t="s">
        <v>95</v>
      </c>
    </row>
    <row r="553" spans="1:6" x14ac:dyDescent="0.3">
      <c r="A553" s="40">
        <v>43248.273411574075</v>
      </c>
      <c r="B553" s="14" t="s">
        <v>50</v>
      </c>
      <c r="C553" s="14">
        <v>30</v>
      </c>
      <c r="D553" s="47">
        <f>VLOOKUP(Добавить18[[#This Row],[Товар]],Итоговая!$G$1:$H$14,2,0)*Добавить18[[#This Row],[количество_единиц_товара]]</f>
        <v>66000</v>
      </c>
      <c r="E553" s="14" t="s">
        <v>70</v>
      </c>
      <c r="F553" s="14" t="s">
        <v>95</v>
      </c>
    </row>
    <row r="554" spans="1:6" x14ac:dyDescent="0.3">
      <c r="A554" s="40">
        <v>43258.463559166667</v>
      </c>
      <c r="B554" s="14" t="s">
        <v>56</v>
      </c>
      <c r="C554" s="14">
        <v>19</v>
      </c>
      <c r="D554" s="47">
        <f>VLOOKUP(Добавить18[[#This Row],[Товар]],Итоговая!$G$1:$H$14,2,0)*Добавить18[[#This Row],[количество_единиц_товара]]</f>
        <v>30400</v>
      </c>
      <c r="E554" s="14" t="s">
        <v>70</v>
      </c>
      <c r="F554" s="14" t="s">
        <v>95</v>
      </c>
    </row>
    <row r="555" spans="1:6" x14ac:dyDescent="0.3">
      <c r="A555" s="40">
        <v>43267.426127847219</v>
      </c>
      <c r="B555" s="14" t="s">
        <v>58</v>
      </c>
      <c r="C555" s="14">
        <v>40</v>
      </c>
      <c r="D555" s="47">
        <f>VLOOKUP(Добавить18[[#This Row],[Товар]],Итоговая!$G$1:$H$14,2,0)*Добавить18[[#This Row],[количество_единиц_товара]]</f>
        <v>178200</v>
      </c>
      <c r="E555" s="14" t="s">
        <v>70</v>
      </c>
      <c r="F555" s="14" t="s">
        <v>95</v>
      </c>
    </row>
    <row r="556" spans="1:6" x14ac:dyDescent="0.3">
      <c r="A556" s="40">
        <v>43276.441012013885</v>
      </c>
      <c r="B556" s="14" t="s">
        <v>54</v>
      </c>
      <c r="C556" s="14">
        <v>30</v>
      </c>
      <c r="D556" s="47">
        <f>VLOOKUP(Добавить18[[#This Row],[Товар]],Итоговая!$G$1:$H$14,2,0)*Добавить18[[#This Row],[количество_единиц_товара]]</f>
        <v>73500</v>
      </c>
      <c r="E556" s="14" t="s">
        <v>69</v>
      </c>
      <c r="F556" s="14" t="s">
        <v>95</v>
      </c>
    </row>
    <row r="557" spans="1:6" x14ac:dyDescent="0.3">
      <c r="A557" s="40">
        <v>43282.155960254633</v>
      </c>
      <c r="B557" s="14" t="s">
        <v>52</v>
      </c>
      <c r="C557" s="14">
        <v>32</v>
      </c>
      <c r="D557" s="47">
        <f>VLOOKUP(Добавить18[[#This Row],[Товар]],Итоговая!$G$1:$H$14,2,0)*Добавить18[[#This Row],[количество_единиц_товара]]</f>
        <v>21760</v>
      </c>
      <c r="E557" s="14" t="s">
        <v>69</v>
      </c>
      <c r="F557" s="14" t="s">
        <v>95</v>
      </c>
    </row>
    <row r="558" spans="1:6" x14ac:dyDescent="0.3">
      <c r="A558" s="40">
        <v>43294.149015902774</v>
      </c>
      <c r="B558" s="14" t="s">
        <v>56</v>
      </c>
      <c r="C558" s="14">
        <v>25</v>
      </c>
      <c r="D558" s="47">
        <f>VLOOKUP(Добавить18[[#This Row],[Товар]],Итоговая!$G$1:$H$14,2,0)*Добавить18[[#This Row],[количество_единиц_товара]]</f>
        <v>40000</v>
      </c>
      <c r="E558" s="14" t="s">
        <v>69</v>
      </c>
      <c r="F558" s="14" t="s">
        <v>95</v>
      </c>
    </row>
    <row r="559" spans="1:6" x14ac:dyDescent="0.3">
      <c r="A559" s="40">
        <v>43307.77388296296</v>
      </c>
      <c r="B559" s="14" t="s">
        <v>59</v>
      </c>
      <c r="C559" s="14">
        <v>20</v>
      </c>
      <c r="D559" s="47">
        <f>VLOOKUP(Добавить18[[#This Row],[Товар]],Итоговая!$G$1:$H$14,2,0)*Добавить18[[#This Row],[количество_единиц_товара]]</f>
        <v>40000</v>
      </c>
      <c r="E559" s="14" t="s">
        <v>70</v>
      </c>
      <c r="F559" s="14" t="s">
        <v>95</v>
      </c>
    </row>
    <row r="560" spans="1:6" x14ac:dyDescent="0.3">
      <c r="A560" s="40">
        <v>43318.279478240744</v>
      </c>
      <c r="B560" s="14" t="s">
        <v>51</v>
      </c>
      <c r="C560" s="14">
        <v>29</v>
      </c>
      <c r="D560" s="47">
        <f>VLOOKUP(Добавить18[[#This Row],[Товар]],Итоговая!$G$1:$H$14,2,0)*Добавить18[[#This Row],[количество_единиц_товара]]</f>
        <v>74240</v>
      </c>
      <c r="E560" s="14" t="s">
        <v>69</v>
      </c>
      <c r="F560" s="14" t="s">
        <v>95</v>
      </c>
    </row>
    <row r="561" spans="1:6" x14ac:dyDescent="0.3">
      <c r="A561" s="40">
        <v>43320.736723090275</v>
      </c>
      <c r="B561" s="14" t="s">
        <v>49</v>
      </c>
      <c r="C561" s="14">
        <v>14</v>
      </c>
      <c r="D561" s="47">
        <f>VLOOKUP(Добавить18[[#This Row],[Товар]],Итоговая!$G$1:$H$14,2,0)*Добавить18[[#This Row],[количество_единиц_товара]]</f>
        <v>43400</v>
      </c>
      <c r="E561" s="14" t="s">
        <v>69</v>
      </c>
      <c r="F561" s="14" t="s">
        <v>95</v>
      </c>
    </row>
    <row r="562" spans="1:6" x14ac:dyDescent="0.3">
      <c r="A562" s="40">
        <v>43327.955849305552</v>
      </c>
      <c r="B562" s="14" t="s">
        <v>52</v>
      </c>
      <c r="C562" s="14">
        <v>38</v>
      </c>
      <c r="D562" s="47">
        <f>VLOOKUP(Добавить18[[#This Row],[Товар]],Итоговая!$G$1:$H$14,2,0)*Добавить18[[#This Row],[количество_единиц_товара]]</f>
        <v>25840</v>
      </c>
      <c r="E562" s="14" t="s">
        <v>69</v>
      </c>
      <c r="F562" s="14" t="s">
        <v>95</v>
      </c>
    </row>
    <row r="563" spans="1:6" x14ac:dyDescent="0.3">
      <c r="A563" s="40">
        <v>43335.140865451387</v>
      </c>
      <c r="B563" s="14" t="s">
        <v>58</v>
      </c>
      <c r="C563" s="14">
        <v>36</v>
      </c>
      <c r="D563" s="47">
        <f>VLOOKUP(Добавить18[[#This Row],[Товар]],Итоговая!$G$1:$H$14,2,0)*Добавить18[[#This Row],[количество_единиц_товара]]</f>
        <v>160380</v>
      </c>
      <c r="E563" s="14" t="s">
        <v>70</v>
      </c>
      <c r="F563" s="14" t="s">
        <v>95</v>
      </c>
    </row>
    <row r="564" spans="1:6" x14ac:dyDescent="0.3">
      <c r="A564" s="40">
        <v>43349.827729143515</v>
      </c>
      <c r="B564" s="14" t="s">
        <v>55</v>
      </c>
      <c r="C564" s="14">
        <v>21</v>
      </c>
      <c r="D564" s="47">
        <f>VLOOKUP(Добавить18[[#This Row],[Товар]],Итоговая!$G$1:$H$14,2,0)*Добавить18[[#This Row],[количество_единиц_товара]]</f>
        <v>94500</v>
      </c>
      <c r="E564" s="14" t="s">
        <v>69</v>
      </c>
      <c r="F564" s="14" t="s">
        <v>95</v>
      </c>
    </row>
    <row r="565" spans="1:6" x14ac:dyDescent="0.3">
      <c r="A565" s="40">
        <v>43350.417525821758</v>
      </c>
      <c r="B565" s="14" t="s">
        <v>52</v>
      </c>
      <c r="C565" s="14">
        <v>14</v>
      </c>
      <c r="D565" s="47">
        <f>VLOOKUP(Добавить18[[#This Row],[Товар]],Итоговая!$G$1:$H$14,2,0)*Добавить18[[#This Row],[количество_единиц_товара]]</f>
        <v>9520</v>
      </c>
      <c r="E565" s="14" t="s">
        <v>69</v>
      </c>
      <c r="F565" s="14" t="s">
        <v>95</v>
      </c>
    </row>
    <row r="566" spans="1:6" x14ac:dyDescent="0.3">
      <c r="A566" s="40">
        <v>43371.874298692128</v>
      </c>
      <c r="B566" s="14" t="s">
        <v>52</v>
      </c>
      <c r="C566" s="14">
        <v>20</v>
      </c>
      <c r="D566" s="47">
        <f>VLOOKUP(Добавить18[[#This Row],[Товар]],Итоговая!$G$1:$H$14,2,0)*Добавить18[[#This Row],[количество_единиц_товара]]</f>
        <v>13600</v>
      </c>
      <c r="E566" s="14" t="s">
        <v>69</v>
      </c>
      <c r="F566" s="14" t="s">
        <v>95</v>
      </c>
    </row>
    <row r="567" spans="1:6" x14ac:dyDescent="0.3">
      <c r="A567" s="40">
        <v>43380.130964756943</v>
      </c>
      <c r="B567" s="14" t="s">
        <v>59</v>
      </c>
      <c r="C567" s="14">
        <v>19</v>
      </c>
      <c r="D567" s="47">
        <f>VLOOKUP(Добавить18[[#This Row],[Товар]],Итоговая!$G$1:$H$14,2,0)*Добавить18[[#This Row],[количество_единиц_товара]]</f>
        <v>38000</v>
      </c>
      <c r="E567" s="14" t="s">
        <v>70</v>
      </c>
      <c r="F567" s="14" t="s">
        <v>95</v>
      </c>
    </row>
    <row r="568" spans="1:6" x14ac:dyDescent="0.3">
      <c r="A568" s="40">
        <v>43389.841948715279</v>
      </c>
      <c r="B568" s="14" t="s">
        <v>59</v>
      </c>
      <c r="C568" s="14">
        <v>13</v>
      </c>
      <c r="D568" s="47">
        <f>VLOOKUP(Добавить18[[#This Row],[Товар]],Итоговая!$G$1:$H$14,2,0)*Добавить18[[#This Row],[количество_единиц_товара]]</f>
        <v>26000</v>
      </c>
      <c r="E568" s="14" t="s">
        <v>69</v>
      </c>
      <c r="F568" s="14" t="s">
        <v>95</v>
      </c>
    </row>
    <row r="569" spans="1:6" x14ac:dyDescent="0.3">
      <c r="A569" s="40">
        <v>43393.296443414351</v>
      </c>
      <c r="B569" s="14" t="s">
        <v>58</v>
      </c>
      <c r="C569" s="14">
        <v>30</v>
      </c>
      <c r="D569" s="47">
        <f>VLOOKUP(Добавить18[[#This Row],[Товар]],Итоговая!$G$1:$H$14,2,0)*Добавить18[[#This Row],[количество_единиц_товара]]</f>
        <v>133650</v>
      </c>
      <c r="E569" s="14" t="s">
        <v>69</v>
      </c>
      <c r="F569" s="14" t="s">
        <v>95</v>
      </c>
    </row>
    <row r="570" spans="1:6" x14ac:dyDescent="0.3">
      <c r="A570" s="40">
        <v>43405.465949479163</v>
      </c>
      <c r="B570" s="14" t="s">
        <v>58</v>
      </c>
      <c r="C570" s="14">
        <v>34</v>
      </c>
      <c r="D570" s="47">
        <f>VLOOKUP(Добавить18[[#This Row],[Товар]],Итоговая!$G$1:$H$14,2,0)*Добавить18[[#This Row],[количество_единиц_товара]]</f>
        <v>151470</v>
      </c>
      <c r="E570" s="14" t="s">
        <v>69</v>
      </c>
      <c r="F570" s="14" t="s">
        <v>95</v>
      </c>
    </row>
    <row r="571" spans="1:6" x14ac:dyDescent="0.3">
      <c r="A571" s="40">
        <v>43426.324207199075</v>
      </c>
      <c r="B571" s="14" t="s">
        <v>59</v>
      </c>
      <c r="C571" s="14">
        <v>24</v>
      </c>
      <c r="D571" s="47">
        <f>VLOOKUP(Добавить18[[#This Row],[Товар]],Итоговая!$G$1:$H$14,2,0)*Добавить18[[#This Row],[количество_единиц_товара]]</f>
        <v>48000</v>
      </c>
      <c r="E571" s="14" t="s">
        <v>70</v>
      </c>
      <c r="F571" s="14" t="s">
        <v>95</v>
      </c>
    </row>
    <row r="572" spans="1:6" x14ac:dyDescent="0.3">
      <c r="A572" s="40">
        <v>43438.859966747688</v>
      </c>
      <c r="B572" s="14" t="s">
        <v>58</v>
      </c>
      <c r="C572" s="14">
        <v>36</v>
      </c>
      <c r="D572" s="47">
        <f>VLOOKUP(Добавить18[[#This Row],[Товар]],Итоговая!$G$1:$H$14,2,0)*Добавить18[[#This Row],[количество_единиц_товара]]</f>
        <v>160380</v>
      </c>
      <c r="E572" s="14" t="s">
        <v>69</v>
      </c>
      <c r="F572" s="14" t="s">
        <v>95</v>
      </c>
    </row>
    <row r="573" spans="1:6" x14ac:dyDescent="0.3">
      <c r="A573" s="40">
        <v>43447.112841793984</v>
      </c>
      <c r="B573" s="14" t="s">
        <v>52</v>
      </c>
      <c r="C573" s="14">
        <v>14</v>
      </c>
      <c r="D573" s="47">
        <f>VLOOKUP(Добавить18[[#This Row],[Товар]],Итоговая!$G$1:$H$14,2,0)*Добавить18[[#This Row],[количество_единиц_товара]]</f>
        <v>9520</v>
      </c>
      <c r="E573" s="14" t="s">
        <v>69</v>
      </c>
      <c r="F573" s="14" t="s">
        <v>95</v>
      </c>
    </row>
    <row r="574" spans="1:6" x14ac:dyDescent="0.3">
      <c r="A574" s="40">
        <v>43461.237265046293</v>
      </c>
      <c r="B574" s="14" t="s">
        <v>58</v>
      </c>
      <c r="C574" s="14">
        <v>17</v>
      </c>
      <c r="D574" s="47">
        <f>VLOOKUP(Добавить18[[#This Row],[Товар]],Итоговая!$G$1:$H$14,2,0)*Добавить18[[#This Row],[количество_единиц_товара]]</f>
        <v>75735</v>
      </c>
      <c r="E574" s="14" t="s">
        <v>69</v>
      </c>
      <c r="F574" s="14" t="s">
        <v>95</v>
      </c>
    </row>
    <row r="575" spans="1:6" x14ac:dyDescent="0.3">
      <c r="A575" s="40">
        <v>43476.834612037041</v>
      </c>
      <c r="B575" s="14" t="s">
        <v>61</v>
      </c>
      <c r="C575" s="14">
        <v>11</v>
      </c>
      <c r="D575" s="47">
        <f>VLOOKUP(Добавить18[[#This Row],[Товар]],Итоговая!$G$1:$H$14,2,0)*Добавить18[[#This Row],[количество_единиц_товара]]</f>
        <v>38170</v>
      </c>
      <c r="E575" s="14" t="s">
        <v>70</v>
      </c>
      <c r="F575" s="14" t="s">
        <v>95</v>
      </c>
    </row>
    <row r="576" spans="1:6" x14ac:dyDescent="0.3">
      <c r="A576" s="40">
        <v>43499.78356019676</v>
      </c>
      <c r="B576" s="14" t="s">
        <v>53</v>
      </c>
      <c r="C576" s="14">
        <v>21</v>
      </c>
      <c r="D576" s="47">
        <f>VLOOKUP(Добавить18[[#This Row],[Товар]],Итоговая!$G$1:$H$14,2,0)*Добавить18[[#This Row],[количество_единиц_товара]]</f>
        <v>37548</v>
      </c>
      <c r="E576" s="14" t="s">
        <v>69</v>
      </c>
      <c r="F576" s="14" t="s">
        <v>95</v>
      </c>
    </row>
    <row r="577" spans="1:6" x14ac:dyDescent="0.3">
      <c r="A577" s="40">
        <v>43503.828540636576</v>
      </c>
      <c r="B577" s="14" t="s">
        <v>52</v>
      </c>
      <c r="C577" s="14">
        <v>29</v>
      </c>
      <c r="D577" s="47">
        <f>VLOOKUP(Добавить18[[#This Row],[Товар]],Итоговая!$G$1:$H$14,2,0)*Добавить18[[#This Row],[количество_единиц_товара]]</f>
        <v>19720</v>
      </c>
      <c r="E577" s="14" t="s">
        <v>69</v>
      </c>
      <c r="F577" s="14" t="s">
        <v>95</v>
      </c>
    </row>
    <row r="578" spans="1:6" x14ac:dyDescent="0.3">
      <c r="A578" s="40">
        <v>43508.822997592593</v>
      </c>
      <c r="B578" s="14" t="s">
        <v>49</v>
      </c>
      <c r="C578" s="14">
        <v>13</v>
      </c>
      <c r="D578" s="47">
        <f>VLOOKUP(Добавить18[[#This Row],[Товар]],Итоговая!$G$1:$H$14,2,0)*Добавить18[[#This Row],[количество_единиц_товара]]</f>
        <v>40300</v>
      </c>
      <c r="E578" s="14" t="s">
        <v>69</v>
      </c>
      <c r="F578" s="14" t="s">
        <v>95</v>
      </c>
    </row>
    <row r="579" spans="1:6" x14ac:dyDescent="0.3">
      <c r="A579" s="40">
        <v>43518.110904803238</v>
      </c>
      <c r="B579" s="14" t="s">
        <v>52</v>
      </c>
      <c r="C579" s="14">
        <v>18</v>
      </c>
      <c r="D579" s="47">
        <f>VLOOKUP(Добавить18[[#This Row],[Товар]],Итоговая!$G$1:$H$14,2,0)*Добавить18[[#This Row],[количество_единиц_товара]]</f>
        <v>12240</v>
      </c>
      <c r="E579" s="14" t="s">
        <v>70</v>
      </c>
      <c r="F579" s="14" t="s">
        <v>95</v>
      </c>
    </row>
    <row r="580" spans="1:6" x14ac:dyDescent="0.3">
      <c r="A580" s="40">
        <v>43523.39688615741</v>
      </c>
      <c r="B580" s="14" t="s">
        <v>51</v>
      </c>
      <c r="C580" s="14">
        <v>14</v>
      </c>
      <c r="D580" s="47">
        <f>VLOOKUP(Добавить18[[#This Row],[Товар]],Итоговая!$G$1:$H$14,2,0)*Добавить18[[#This Row],[количество_единиц_товара]]</f>
        <v>35840</v>
      </c>
      <c r="E580" s="14" t="s">
        <v>70</v>
      </c>
      <c r="F580" s="14" t="s">
        <v>95</v>
      </c>
    </row>
    <row r="581" spans="1:6" x14ac:dyDescent="0.3">
      <c r="A581" s="40">
        <v>43533.224853206018</v>
      </c>
      <c r="B581" s="14" t="s">
        <v>58</v>
      </c>
      <c r="C581" s="14">
        <v>27</v>
      </c>
      <c r="D581" s="47">
        <f>VLOOKUP(Добавить18[[#This Row],[Товар]],Итоговая!$G$1:$H$14,2,0)*Добавить18[[#This Row],[количество_единиц_товара]]</f>
        <v>120285</v>
      </c>
      <c r="E581" s="14" t="s">
        <v>70</v>
      </c>
      <c r="F581" s="14" t="s">
        <v>95</v>
      </c>
    </row>
    <row r="582" spans="1:6" x14ac:dyDescent="0.3">
      <c r="A582" s="40">
        <v>43542.232310798609</v>
      </c>
      <c r="B582" s="14" t="s">
        <v>54</v>
      </c>
      <c r="C582" s="14">
        <v>13</v>
      </c>
      <c r="D582" s="47">
        <f>VLOOKUP(Добавить18[[#This Row],[Товар]],Итоговая!$G$1:$H$14,2,0)*Добавить18[[#This Row],[количество_единиц_товара]]</f>
        <v>31850</v>
      </c>
      <c r="E582" s="14" t="s">
        <v>70</v>
      </c>
      <c r="F582" s="14" t="s">
        <v>95</v>
      </c>
    </row>
    <row r="583" spans="1:6" x14ac:dyDescent="0.3">
      <c r="A583" s="40">
        <v>43556.967490254632</v>
      </c>
      <c r="B583" s="14" t="s">
        <v>52</v>
      </c>
      <c r="C583" s="14">
        <v>31</v>
      </c>
      <c r="D583" s="47">
        <f>VLOOKUP(Добавить18[[#This Row],[Товар]],Итоговая!$G$1:$H$14,2,0)*Добавить18[[#This Row],[количество_единиц_товара]]</f>
        <v>21080</v>
      </c>
      <c r="E583" s="14" t="s">
        <v>70</v>
      </c>
      <c r="F583" s="14" t="s">
        <v>95</v>
      </c>
    </row>
    <row r="584" spans="1:6" x14ac:dyDescent="0.3">
      <c r="A584" s="40">
        <v>43570.998715729169</v>
      </c>
      <c r="B584" s="14" t="s">
        <v>60</v>
      </c>
      <c r="C584" s="14">
        <v>35</v>
      </c>
      <c r="D584" s="47">
        <f>VLOOKUP(Добавить18[[#This Row],[Товар]],Итоговая!$G$1:$H$14,2,0)*Добавить18[[#This Row],[количество_единиц_товара]]</f>
        <v>202615</v>
      </c>
      <c r="E584" s="14" t="s">
        <v>70</v>
      </c>
      <c r="F584" s="14" t="s">
        <v>95</v>
      </c>
    </row>
    <row r="585" spans="1:6" x14ac:dyDescent="0.3">
      <c r="A585" s="40">
        <v>43573.57328621528</v>
      </c>
      <c r="B585" s="14" t="s">
        <v>51</v>
      </c>
      <c r="C585" s="14">
        <v>13</v>
      </c>
      <c r="D585" s="47">
        <f>VLOOKUP(Добавить18[[#This Row],[Товар]],Итоговая!$G$1:$H$14,2,0)*Добавить18[[#This Row],[количество_единиц_товара]]</f>
        <v>33280</v>
      </c>
      <c r="E585" s="14" t="s">
        <v>70</v>
      </c>
      <c r="F585" s="14" t="s">
        <v>95</v>
      </c>
    </row>
    <row r="586" spans="1:6" x14ac:dyDescent="0.3">
      <c r="A586" s="40">
        <v>43580.862466180559</v>
      </c>
      <c r="B586" s="14" t="s">
        <v>58</v>
      </c>
      <c r="C586" s="14">
        <v>21</v>
      </c>
      <c r="D586" s="47">
        <f>VLOOKUP(Добавить18[[#This Row],[Товар]],Итоговая!$G$1:$H$14,2,0)*Добавить18[[#This Row],[количество_единиц_товара]]</f>
        <v>93555</v>
      </c>
      <c r="E586" s="14" t="s">
        <v>70</v>
      </c>
      <c r="F586" s="14" t="s">
        <v>95</v>
      </c>
    </row>
    <row r="587" spans="1:6" x14ac:dyDescent="0.3">
      <c r="A587" s="40">
        <v>43606.424048611108</v>
      </c>
      <c r="B587" s="14" t="s">
        <v>60</v>
      </c>
      <c r="C587" s="14">
        <v>14</v>
      </c>
      <c r="D587" s="47">
        <f>VLOOKUP(Добавить18[[#This Row],[Товар]],Итоговая!$G$1:$H$14,2,0)*Добавить18[[#This Row],[количество_единиц_товара]]</f>
        <v>81046</v>
      </c>
      <c r="E587" s="14" t="s">
        <v>70</v>
      </c>
      <c r="F587" s="14" t="s">
        <v>95</v>
      </c>
    </row>
    <row r="588" spans="1:6" x14ac:dyDescent="0.3">
      <c r="A588" s="40">
        <v>43610.810685462966</v>
      </c>
      <c r="B588" s="14" t="s">
        <v>54</v>
      </c>
      <c r="C588" s="14">
        <v>26</v>
      </c>
      <c r="D588" s="47">
        <f>VLOOKUP(Добавить18[[#This Row],[Товар]],Итоговая!$G$1:$H$14,2,0)*Добавить18[[#This Row],[количество_единиц_товара]]</f>
        <v>63700</v>
      </c>
      <c r="E588" s="14" t="s">
        <v>70</v>
      </c>
      <c r="F588" s="14" t="s">
        <v>95</v>
      </c>
    </row>
    <row r="589" spans="1:6" x14ac:dyDescent="0.3">
      <c r="A589" s="40">
        <v>43637.587395000002</v>
      </c>
      <c r="B589" s="14" t="s">
        <v>60</v>
      </c>
      <c r="C589" s="14">
        <v>24</v>
      </c>
      <c r="D589" s="47">
        <f>VLOOKUP(Добавить18[[#This Row],[Товар]],Итоговая!$G$1:$H$14,2,0)*Добавить18[[#This Row],[количество_единиц_товара]]</f>
        <v>138936</v>
      </c>
      <c r="E589" s="14" t="s">
        <v>70</v>
      </c>
      <c r="F589" s="14" t="s">
        <v>95</v>
      </c>
    </row>
    <row r="590" spans="1:6" x14ac:dyDescent="0.3">
      <c r="A590" s="40">
        <v>43639.209179363424</v>
      </c>
      <c r="B590" s="14" t="s">
        <v>61</v>
      </c>
      <c r="C590" s="14">
        <v>38</v>
      </c>
      <c r="D590" s="47">
        <f>VLOOKUP(Добавить18[[#This Row],[Товар]],Итоговая!$G$1:$H$14,2,0)*Добавить18[[#This Row],[количество_единиц_товара]]</f>
        <v>131860</v>
      </c>
      <c r="E590" s="14" t="s">
        <v>69</v>
      </c>
      <c r="F590" s="14" t="s">
        <v>95</v>
      </c>
    </row>
    <row r="591" spans="1:6" x14ac:dyDescent="0.3">
      <c r="A591" s="40">
        <v>43665.02277815972</v>
      </c>
      <c r="B591" s="14" t="s">
        <v>58</v>
      </c>
      <c r="C591" s="14">
        <v>35</v>
      </c>
      <c r="D591" s="47">
        <f>VLOOKUP(Добавить18[[#This Row],[Товар]],Итоговая!$G$1:$H$14,2,0)*Добавить18[[#This Row],[количество_единиц_товара]]</f>
        <v>155925</v>
      </c>
      <c r="E591" s="14" t="s">
        <v>69</v>
      </c>
      <c r="F591" s="14" t="s">
        <v>95</v>
      </c>
    </row>
    <row r="592" spans="1:6" x14ac:dyDescent="0.3">
      <c r="A592" s="40">
        <v>43668.614642083332</v>
      </c>
      <c r="B592" s="14" t="s">
        <v>58</v>
      </c>
      <c r="C592" s="14">
        <v>40</v>
      </c>
      <c r="D592" s="47">
        <f>VLOOKUP(Добавить18[[#This Row],[Товар]],Итоговая!$G$1:$H$14,2,0)*Добавить18[[#This Row],[количество_единиц_товара]]</f>
        <v>178200</v>
      </c>
      <c r="E592" s="14" t="s">
        <v>69</v>
      </c>
      <c r="F592" s="14" t="s">
        <v>95</v>
      </c>
    </row>
    <row r="593" spans="1:6" x14ac:dyDescent="0.3">
      <c r="A593" s="40">
        <v>43670.403956886577</v>
      </c>
      <c r="B593" s="14" t="s">
        <v>59</v>
      </c>
      <c r="C593" s="14">
        <v>24</v>
      </c>
      <c r="D593" s="47">
        <f>VLOOKUP(Добавить18[[#This Row],[Товар]],Итоговая!$G$1:$H$14,2,0)*Добавить18[[#This Row],[количество_единиц_товара]]</f>
        <v>48000</v>
      </c>
      <c r="E593" s="14" t="s">
        <v>69</v>
      </c>
      <c r="F593" s="14" t="s">
        <v>95</v>
      </c>
    </row>
    <row r="594" spans="1:6" x14ac:dyDescent="0.3">
      <c r="A594" s="40">
        <v>43673.633060775464</v>
      </c>
      <c r="B594" s="14" t="s">
        <v>54</v>
      </c>
      <c r="C594" s="14">
        <v>11</v>
      </c>
      <c r="D594" s="47">
        <f>VLOOKUP(Добавить18[[#This Row],[Товар]],Итоговая!$G$1:$H$14,2,0)*Добавить18[[#This Row],[количество_единиц_товара]]</f>
        <v>26950</v>
      </c>
      <c r="E594" s="14" t="s">
        <v>69</v>
      </c>
      <c r="F594" s="14" t="s">
        <v>95</v>
      </c>
    </row>
    <row r="595" spans="1:6" x14ac:dyDescent="0.3">
      <c r="A595" s="40">
        <v>43677.906862824071</v>
      </c>
      <c r="B595" s="14" t="s">
        <v>60</v>
      </c>
      <c r="C595" s="14">
        <v>18</v>
      </c>
      <c r="D595" s="47">
        <f>VLOOKUP(Добавить18[[#This Row],[Товар]],Итоговая!$G$1:$H$14,2,0)*Добавить18[[#This Row],[количество_единиц_товара]]</f>
        <v>104202</v>
      </c>
      <c r="E595" s="14" t="s">
        <v>69</v>
      </c>
      <c r="F595" s="14" t="s">
        <v>95</v>
      </c>
    </row>
    <row r="596" spans="1:6" x14ac:dyDescent="0.3">
      <c r="A596" s="40">
        <v>43681.318200694448</v>
      </c>
      <c r="B596" s="14" t="s">
        <v>59</v>
      </c>
      <c r="C596" s="14">
        <v>37</v>
      </c>
      <c r="D596" s="47">
        <f>VLOOKUP(Добавить18[[#This Row],[Товар]],Итоговая!$G$1:$H$14,2,0)*Добавить18[[#This Row],[количество_единиц_товара]]</f>
        <v>74000</v>
      </c>
      <c r="E596" s="14" t="s">
        <v>69</v>
      </c>
      <c r="F596" s="14" t="s">
        <v>95</v>
      </c>
    </row>
    <row r="597" spans="1:6" x14ac:dyDescent="0.3">
      <c r="A597" s="40">
        <v>43682.396940856481</v>
      </c>
      <c r="B597" s="14" t="s">
        <v>55</v>
      </c>
      <c r="C597" s="14">
        <v>23</v>
      </c>
      <c r="D597" s="47">
        <f>VLOOKUP(Добавить18[[#This Row],[Товар]],Итоговая!$G$1:$H$14,2,0)*Добавить18[[#This Row],[количество_единиц_товара]]</f>
        <v>103500</v>
      </c>
      <c r="E597" s="14" t="s">
        <v>69</v>
      </c>
      <c r="F597" s="14" t="s">
        <v>95</v>
      </c>
    </row>
    <row r="598" spans="1:6" x14ac:dyDescent="0.3">
      <c r="A598" s="40">
        <v>43688.97069696759</v>
      </c>
      <c r="B598" s="14" t="s">
        <v>59</v>
      </c>
      <c r="C598" s="14">
        <v>34</v>
      </c>
      <c r="D598" s="47">
        <f>VLOOKUP(Добавить18[[#This Row],[Товар]],Итоговая!$G$1:$H$14,2,0)*Добавить18[[#This Row],[количество_единиц_товара]]</f>
        <v>68000</v>
      </c>
      <c r="E598" s="14" t="s">
        <v>69</v>
      </c>
      <c r="F598" s="14" t="s">
        <v>95</v>
      </c>
    </row>
    <row r="599" spans="1:6" x14ac:dyDescent="0.3">
      <c r="A599" s="40">
        <v>43698.383948518516</v>
      </c>
      <c r="B599" s="14" t="s">
        <v>56</v>
      </c>
      <c r="C599" s="14">
        <v>32</v>
      </c>
      <c r="D599" s="47">
        <f>VLOOKUP(Добавить18[[#This Row],[Товар]],Итоговая!$G$1:$H$14,2,0)*Добавить18[[#This Row],[количество_единиц_товара]]</f>
        <v>51200</v>
      </c>
      <c r="E599" s="14" t="s">
        <v>69</v>
      </c>
      <c r="F599" s="14" t="s">
        <v>95</v>
      </c>
    </row>
    <row r="600" spans="1:6" x14ac:dyDescent="0.3">
      <c r="A600" s="40">
        <v>43700.762697905091</v>
      </c>
      <c r="B600" s="14" t="s">
        <v>58</v>
      </c>
      <c r="C600" s="14">
        <v>37</v>
      </c>
      <c r="D600" s="47">
        <f>VLOOKUP(Добавить18[[#This Row],[Товар]],Итоговая!$G$1:$H$14,2,0)*Добавить18[[#This Row],[количество_единиц_товара]]</f>
        <v>164835</v>
      </c>
      <c r="E600" s="14" t="s">
        <v>69</v>
      </c>
      <c r="F600" s="14" t="s">
        <v>95</v>
      </c>
    </row>
    <row r="601" spans="1:6" x14ac:dyDescent="0.3">
      <c r="A601" s="40">
        <v>43704.242731643521</v>
      </c>
      <c r="B601" s="14" t="s">
        <v>56</v>
      </c>
      <c r="C601" s="14">
        <v>22</v>
      </c>
      <c r="D601" s="47">
        <f>VLOOKUP(Добавить18[[#This Row],[Товар]],Итоговая!$G$1:$H$14,2,0)*Добавить18[[#This Row],[количество_единиц_товара]]</f>
        <v>35200</v>
      </c>
      <c r="E601" s="14" t="s">
        <v>69</v>
      </c>
      <c r="F601" s="14" t="s">
        <v>95</v>
      </c>
    </row>
    <row r="602" spans="1:6" x14ac:dyDescent="0.3">
      <c r="A602" s="40">
        <v>43711.097180208337</v>
      </c>
      <c r="B602" s="14" t="s">
        <v>55</v>
      </c>
      <c r="C602" s="14">
        <v>18</v>
      </c>
      <c r="D602" s="47">
        <f>VLOOKUP(Добавить18[[#This Row],[Товар]],Итоговая!$G$1:$H$14,2,0)*Добавить18[[#This Row],[количество_единиц_товара]]</f>
        <v>81000</v>
      </c>
      <c r="E602" s="14" t="s">
        <v>69</v>
      </c>
      <c r="F602" s="14" t="s">
        <v>95</v>
      </c>
    </row>
    <row r="603" spans="1:6" x14ac:dyDescent="0.3">
      <c r="A603" s="40">
        <v>43733.473327731481</v>
      </c>
      <c r="B603" s="14" t="s">
        <v>52</v>
      </c>
      <c r="C603" s="14">
        <v>31</v>
      </c>
      <c r="D603" s="47">
        <f>VLOOKUP(Добавить18[[#This Row],[Товар]],Итоговая!$G$1:$H$14,2,0)*Добавить18[[#This Row],[количество_единиц_товара]]</f>
        <v>21080</v>
      </c>
      <c r="E603" s="14" t="s">
        <v>69</v>
      </c>
      <c r="F603" s="14" t="s">
        <v>95</v>
      </c>
    </row>
    <row r="604" spans="1:6" x14ac:dyDescent="0.3">
      <c r="A604" s="40">
        <v>43755.926682291669</v>
      </c>
      <c r="B604" s="14" t="s">
        <v>50</v>
      </c>
      <c r="C604" s="14">
        <v>31</v>
      </c>
      <c r="D604" s="47">
        <f>VLOOKUP(Добавить18[[#This Row],[Товар]],Итоговая!$G$1:$H$14,2,0)*Добавить18[[#This Row],[количество_единиц_товара]]</f>
        <v>68200</v>
      </c>
      <c r="E604" s="14" t="s">
        <v>70</v>
      </c>
      <c r="F604" s="14" t="s">
        <v>95</v>
      </c>
    </row>
    <row r="605" spans="1:6" x14ac:dyDescent="0.3">
      <c r="A605" s="40">
        <v>43777.395419456021</v>
      </c>
      <c r="B605" s="14" t="s">
        <v>61</v>
      </c>
      <c r="C605" s="14">
        <v>22</v>
      </c>
      <c r="D605" s="47">
        <f>VLOOKUP(Добавить18[[#This Row],[Товар]],Итоговая!$G$1:$H$14,2,0)*Добавить18[[#This Row],[количество_единиц_товара]]</f>
        <v>76340</v>
      </c>
      <c r="E605" s="14" t="s">
        <v>70</v>
      </c>
      <c r="F605" s="14" t="s">
        <v>95</v>
      </c>
    </row>
    <row r="606" spans="1:6" x14ac:dyDescent="0.3">
      <c r="A606" s="40">
        <v>43787.730395150465</v>
      </c>
      <c r="B606" s="14" t="s">
        <v>58</v>
      </c>
      <c r="C606" s="14">
        <v>30</v>
      </c>
      <c r="D606" s="47">
        <f>VLOOKUP(Добавить18[[#This Row],[Товар]],Итоговая!$G$1:$H$14,2,0)*Добавить18[[#This Row],[количество_единиц_товара]]</f>
        <v>133650</v>
      </c>
      <c r="E606" s="14" t="s">
        <v>69</v>
      </c>
      <c r="F606" s="14" t="s">
        <v>95</v>
      </c>
    </row>
    <row r="607" spans="1:6" x14ac:dyDescent="0.3">
      <c r="A607" s="40">
        <v>43788.906858425929</v>
      </c>
      <c r="B607" s="14" t="s">
        <v>56</v>
      </c>
      <c r="C607" s="14">
        <v>24</v>
      </c>
      <c r="D607" s="47">
        <f>VLOOKUP(Добавить18[[#This Row],[Товар]],Итоговая!$G$1:$H$14,2,0)*Добавить18[[#This Row],[количество_единиц_товара]]</f>
        <v>38400</v>
      </c>
      <c r="E607" s="14" t="s">
        <v>69</v>
      </c>
      <c r="F607" s="14" t="s">
        <v>95</v>
      </c>
    </row>
    <row r="608" spans="1:6" x14ac:dyDescent="0.3">
      <c r="A608" s="40">
        <v>43799.113210208336</v>
      </c>
      <c r="B608" s="14" t="s">
        <v>56</v>
      </c>
      <c r="C608" s="14">
        <v>10</v>
      </c>
      <c r="D608" s="47">
        <f>VLOOKUP(Добавить18[[#This Row],[Товар]],Итоговая!$G$1:$H$14,2,0)*Добавить18[[#This Row],[количество_единиц_товара]]</f>
        <v>16000</v>
      </c>
      <c r="E608" s="14" t="s">
        <v>69</v>
      </c>
      <c r="F608" s="14" t="s">
        <v>95</v>
      </c>
    </row>
    <row r="609" spans="1:6" x14ac:dyDescent="0.3">
      <c r="A609" s="40">
        <v>43811.751493460652</v>
      </c>
      <c r="B609" s="14" t="s">
        <v>58</v>
      </c>
      <c r="C609" s="14">
        <v>30</v>
      </c>
      <c r="D609" s="47">
        <f>VLOOKUP(Добавить18[[#This Row],[Товар]],Итоговая!$G$1:$H$14,2,0)*Добавить18[[#This Row],[количество_единиц_товара]]</f>
        <v>133650</v>
      </c>
      <c r="E609" s="14" t="s">
        <v>70</v>
      </c>
      <c r="F609" s="14" t="s">
        <v>95</v>
      </c>
    </row>
    <row r="610" spans="1:6" x14ac:dyDescent="0.3">
      <c r="A610" s="40">
        <v>43840.31563365741</v>
      </c>
      <c r="B610" s="14" t="s">
        <v>60</v>
      </c>
      <c r="C610" s="14">
        <v>26</v>
      </c>
      <c r="D610" s="47">
        <f>VLOOKUP(Добавить18[[#This Row],[Товар]],Итоговая!$G$1:$H$14,2,0)*Добавить18[[#This Row],[количество_единиц_товара]]</f>
        <v>150514</v>
      </c>
      <c r="E610" s="14" t="s">
        <v>70</v>
      </c>
      <c r="F610" s="14" t="s">
        <v>95</v>
      </c>
    </row>
    <row r="611" spans="1:6" x14ac:dyDescent="0.3">
      <c r="A611" s="40">
        <v>43856.285464560184</v>
      </c>
      <c r="B611" s="14" t="s">
        <v>52</v>
      </c>
      <c r="C611" s="14">
        <v>35</v>
      </c>
      <c r="D611" s="47">
        <f>VLOOKUP(Добавить18[[#This Row],[Товар]],Итоговая!$G$1:$H$14,2,0)*Добавить18[[#This Row],[количество_единиц_товара]]</f>
        <v>23800</v>
      </c>
      <c r="E611" s="14" t="s">
        <v>69</v>
      </c>
      <c r="F611" s="14" t="s">
        <v>95</v>
      </c>
    </row>
    <row r="612" spans="1:6" x14ac:dyDescent="0.3">
      <c r="A612" s="40">
        <v>43857.726571631945</v>
      </c>
      <c r="B612" s="14" t="s">
        <v>50</v>
      </c>
      <c r="C612" s="14">
        <v>20</v>
      </c>
      <c r="D612" s="47">
        <f>VLOOKUP(Добавить18[[#This Row],[Товар]],Итоговая!$G$1:$H$14,2,0)*Добавить18[[#This Row],[количество_единиц_товара]]</f>
        <v>44000</v>
      </c>
      <c r="E612" s="14" t="s">
        <v>69</v>
      </c>
      <c r="F612" s="14" t="s">
        <v>95</v>
      </c>
    </row>
    <row r="613" spans="1:6" x14ac:dyDescent="0.3">
      <c r="A613" s="40">
        <v>43868.220330370372</v>
      </c>
      <c r="B613" s="14" t="s">
        <v>54</v>
      </c>
      <c r="C613" s="14">
        <v>32</v>
      </c>
      <c r="D613" s="47">
        <f>VLOOKUP(Добавить18[[#This Row],[Товар]],Итоговая!$G$1:$H$14,2,0)*Добавить18[[#This Row],[количество_единиц_товара]]</f>
        <v>78400</v>
      </c>
      <c r="E613" s="14" t="s">
        <v>69</v>
      </c>
      <c r="F613" s="14" t="s">
        <v>95</v>
      </c>
    </row>
    <row r="614" spans="1:6" x14ac:dyDescent="0.3">
      <c r="A614" s="40">
        <v>43870.604314479169</v>
      </c>
      <c r="B614" s="14" t="s">
        <v>60</v>
      </c>
      <c r="C614" s="14">
        <v>39</v>
      </c>
      <c r="D614" s="47">
        <f>VLOOKUP(Добавить18[[#This Row],[Товар]],Итоговая!$G$1:$H$14,2,0)*Добавить18[[#This Row],[количество_единиц_товара]]</f>
        <v>225771</v>
      </c>
      <c r="E614" s="14" t="s">
        <v>69</v>
      </c>
      <c r="F614" s="14" t="s">
        <v>95</v>
      </c>
    </row>
    <row r="615" spans="1:6" x14ac:dyDescent="0.3">
      <c r="A615" s="40">
        <v>43877.341611099539</v>
      </c>
      <c r="B615" s="14" t="s">
        <v>50</v>
      </c>
      <c r="C615" s="14">
        <v>16</v>
      </c>
      <c r="D615" s="47">
        <f>VLOOKUP(Добавить18[[#This Row],[Товар]],Итоговая!$G$1:$H$14,2,0)*Добавить18[[#This Row],[количество_единиц_товара]]</f>
        <v>35200</v>
      </c>
      <c r="E615" s="14" t="s">
        <v>70</v>
      </c>
      <c r="F615" s="14" t="s">
        <v>95</v>
      </c>
    </row>
    <row r="616" spans="1:6" x14ac:dyDescent="0.3">
      <c r="A616" s="40">
        <v>43884.130658622686</v>
      </c>
      <c r="B616" s="14" t="s">
        <v>52</v>
      </c>
      <c r="C616" s="14">
        <v>33</v>
      </c>
      <c r="D616" s="47">
        <f>VLOOKUP(Добавить18[[#This Row],[Товар]],Итоговая!$G$1:$H$14,2,0)*Добавить18[[#This Row],[количество_единиц_товара]]</f>
        <v>22440</v>
      </c>
      <c r="E616" s="14" t="s">
        <v>69</v>
      </c>
      <c r="F616" s="14" t="s">
        <v>95</v>
      </c>
    </row>
    <row r="617" spans="1:6" x14ac:dyDescent="0.3">
      <c r="A617" s="40">
        <v>43889.024602824073</v>
      </c>
      <c r="B617" s="14" t="s">
        <v>56</v>
      </c>
      <c r="C617" s="14">
        <v>16</v>
      </c>
      <c r="D617" s="47">
        <f>VLOOKUP(Добавить18[[#This Row],[Товар]],Итоговая!$G$1:$H$14,2,0)*Добавить18[[#This Row],[количество_единиц_товара]]</f>
        <v>25600</v>
      </c>
      <c r="E617" s="14" t="s">
        <v>70</v>
      </c>
      <c r="F617" s="14" t="s">
        <v>95</v>
      </c>
    </row>
    <row r="618" spans="1:6" x14ac:dyDescent="0.3">
      <c r="A618" s="40">
        <v>43894.051341377315</v>
      </c>
      <c r="B618" s="14" t="s">
        <v>55</v>
      </c>
      <c r="C618" s="14">
        <v>39</v>
      </c>
      <c r="D618" s="47">
        <f>VLOOKUP(Добавить18[[#This Row],[Товар]],Итоговая!$G$1:$H$14,2,0)*Добавить18[[#This Row],[количество_единиц_товара]]</f>
        <v>175500</v>
      </c>
      <c r="E618" s="14" t="s">
        <v>69</v>
      </c>
      <c r="F618" s="14" t="s">
        <v>95</v>
      </c>
    </row>
    <row r="619" spans="1:6" x14ac:dyDescent="0.3">
      <c r="A619" s="40">
        <v>43894.69400653935</v>
      </c>
      <c r="B619" s="14" t="s">
        <v>50</v>
      </c>
      <c r="C619" s="14">
        <v>39</v>
      </c>
      <c r="D619" s="47">
        <f>VLOOKUP(Добавить18[[#This Row],[Товар]],Итоговая!$G$1:$H$14,2,0)*Добавить18[[#This Row],[количество_единиц_товара]]</f>
        <v>85800</v>
      </c>
      <c r="E619" s="14" t="s">
        <v>70</v>
      </c>
      <c r="F619" s="14" t="s">
        <v>95</v>
      </c>
    </row>
    <row r="620" spans="1:6" x14ac:dyDescent="0.3">
      <c r="A620" s="40">
        <v>43897.013452766201</v>
      </c>
      <c r="B620" s="14" t="s">
        <v>59</v>
      </c>
      <c r="C620" s="14">
        <v>38</v>
      </c>
      <c r="D620" s="47">
        <f>VLOOKUP(Добавить18[[#This Row],[Товар]],Итоговая!$G$1:$H$14,2,0)*Добавить18[[#This Row],[количество_единиц_товара]]</f>
        <v>76000</v>
      </c>
      <c r="E620" s="14" t="s">
        <v>69</v>
      </c>
      <c r="F620" s="14" t="s">
        <v>95</v>
      </c>
    </row>
    <row r="621" spans="1:6" x14ac:dyDescent="0.3">
      <c r="A621" s="40">
        <v>43904.475755821761</v>
      </c>
      <c r="B621" s="14" t="s">
        <v>49</v>
      </c>
      <c r="C621" s="14">
        <v>34</v>
      </c>
      <c r="D621" s="47">
        <f>VLOOKUP(Добавить18[[#This Row],[Товар]],Итоговая!$G$1:$H$14,2,0)*Добавить18[[#This Row],[количество_единиц_товара]]</f>
        <v>105400</v>
      </c>
      <c r="E621" s="14" t="s">
        <v>70</v>
      </c>
      <c r="F621" s="14" t="s">
        <v>95</v>
      </c>
    </row>
    <row r="622" spans="1:6" x14ac:dyDescent="0.3">
      <c r="A622" s="40">
        <v>43917.396138842596</v>
      </c>
      <c r="B622" s="14" t="s">
        <v>52</v>
      </c>
      <c r="C622" s="14">
        <v>22</v>
      </c>
      <c r="D622" s="47">
        <f>VLOOKUP(Добавить18[[#This Row],[Товар]],Итоговая!$G$1:$H$14,2,0)*Добавить18[[#This Row],[количество_единиц_товара]]</f>
        <v>14960</v>
      </c>
      <c r="E622" s="14" t="s">
        <v>69</v>
      </c>
      <c r="F622" s="14" t="s">
        <v>95</v>
      </c>
    </row>
    <row r="623" spans="1:6" x14ac:dyDescent="0.3">
      <c r="A623" s="40">
        <v>43923.832484791667</v>
      </c>
      <c r="B623" s="14" t="s">
        <v>51</v>
      </c>
      <c r="C623" s="14">
        <v>27</v>
      </c>
      <c r="D623" s="47">
        <f>VLOOKUP(Добавить18[[#This Row],[Товар]],Итоговая!$G$1:$H$14,2,0)*Добавить18[[#This Row],[количество_единиц_товара]]</f>
        <v>69120</v>
      </c>
      <c r="E623" s="14" t="s">
        <v>70</v>
      </c>
      <c r="F623" s="14" t="s">
        <v>95</v>
      </c>
    </row>
    <row r="624" spans="1:6" x14ac:dyDescent="0.3">
      <c r="A624" s="40">
        <v>43927.121661180558</v>
      </c>
      <c r="B624" s="14" t="s">
        <v>61</v>
      </c>
      <c r="C624" s="14">
        <v>34</v>
      </c>
      <c r="D624" s="47">
        <f>VLOOKUP(Добавить18[[#This Row],[Товар]],Итоговая!$G$1:$H$14,2,0)*Добавить18[[#This Row],[количество_единиц_товара]]</f>
        <v>117980</v>
      </c>
      <c r="E624" s="14" t="s">
        <v>69</v>
      </c>
      <c r="F624" s="14" t="s">
        <v>95</v>
      </c>
    </row>
    <row r="625" spans="1:6" x14ac:dyDescent="0.3">
      <c r="A625" s="40">
        <v>43933.457411469906</v>
      </c>
      <c r="B625" s="14" t="s">
        <v>59</v>
      </c>
      <c r="C625" s="14">
        <v>17</v>
      </c>
      <c r="D625" s="47">
        <f>VLOOKUP(Добавить18[[#This Row],[Товар]],Итоговая!$G$1:$H$14,2,0)*Добавить18[[#This Row],[количество_единиц_товара]]</f>
        <v>34000</v>
      </c>
      <c r="E625" s="14" t="s">
        <v>70</v>
      </c>
      <c r="F625" s="14" t="s">
        <v>95</v>
      </c>
    </row>
    <row r="626" spans="1:6" x14ac:dyDescent="0.3">
      <c r="A626" s="40">
        <v>43939.291511516203</v>
      </c>
      <c r="B626" s="14" t="s">
        <v>51</v>
      </c>
      <c r="C626" s="14">
        <v>29</v>
      </c>
      <c r="D626" s="47">
        <f>VLOOKUP(Добавить18[[#This Row],[Товар]],Итоговая!$G$1:$H$14,2,0)*Добавить18[[#This Row],[количество_единиц_товара]]</f>
        <v>74240</v>
      </c>
      <c r="E626" s="14" t="s">
        <v>69</v>
      </c>
      <c r="F626" s="14" t="s">
        <v>95</v>
      </c>
    </row>
    <row r="627" spans="1:6" x14ac:dyDescent="0.3">
      <c r="A627" s="40">
        <v>43941.142521238427</v>
      </c>
      <c r="B627" s="14" t="s">
        <v>59</v>
      </c>
      <c r="C627" s="14">
        <v>20</v>
      </c>
      <c r="D627" s="47">
        <f>VLOOKUP(Добавить18[[#This Row],[Товар]],Итоговая!$G$1:$H$14,2,0)*Добавить18[[#This Row],[количество_единиц_товара]]</f>
        <v>40000</v>
      </c>
      <c r="E627" s="14" t="s">
        <v>70</v>
      </c>
      <c r="F627" s="14" t="s">
        <v>95</v>
      </c>
    </row>
    <row r="628" spans="1:6" x14ac:dyDescent="0.3">
      <c r="A628" s="40">
        <v>43949.648510104169</v>
      </c>
      <c r="B628" s="14" t="s">
        <v>55</v>
      </c>
      <c r="C628" s="14">
        <v>14</v>
      </c>
      <c r="D628" s="47">
        <f>VLOOKUP(Добавить18[[#This Row],[Товар]],Итоговая!$G$1:$H$14,2,0)*Добавить18[[#This Row],[количество_единиц_товара]]</f>
        <v>63000</v>
      </c>
      <c r="E628" s="14" t="s">
        <v>69</v>
      </c>
      <c r="F628" s="14" t="s">
        <v>95</v>
      </c>
    </row>
    <row r="629" spans="1:6" x14ac:dyDescent="0.3">
      <c r="A629" s="40">
        <v>43959.905719594906</v>
      </c>
      <c r="B629" s="14" t="s">
        <v>52</v>
      </c>
      <c r="C629" s="14">
        <v>11</v>
      </c>
      <c r="D629" s="47">
        <f>VLOOKUP(Добавить18[[#This Row],[Товар]],Итоговая!$G$1:$H$14,2,0)*Добавить18[[#This Row],[количество_единиц_товара]]</f>
        <v>7480</v>
      </c>
      <c r="E629" s="14" t="s">
        <v>70</v>
      </c>
      <c r="F629" s="14" t="s">
        <v>95</v>
      </c>
    </row>
    <row r="630" spans="1:6" x14ac:dyDescent="0.3">
      <c r="A630" s="40">
        <v>43970.662422048612</v>
      </c>
      <c r="B630" s="14" t="s">
        <v>51</v>
      </c>
      <c r="C630" s="14">
        <v>28</v>
      </c>
      <c r="D630" s="47">
        <f>VLOOKUP(Добавить18[[#This Row],[Товар]],Итоговая!$G$1:$H$14,2,0)*Добавить18[[#This Row],[количество_единиц_товара]]</f>
        <v>71680</v>
      </c>
      <c r="E630" s="14" t="s">
        <v>69</v>
      </c>
      <c r="F630" s="14" t="s">
        <v>95</v>
      </c>
    </row>
    <row r="631" spans="1:6" x14ac:dyDescent="0.3">
      <c r="A631" s="40">
        <v>43985.890502141207</v>
      </c>
      <c r="B631" s="14" t="s">
        <v>59</v>
      </c>
      <c r="C631" s="14">
        <v>17</v>
      </c>
      <c r="D631" s="47">
        <f>VLOOKUP(Добавить18[[#This Row],[Товар]],Итоговая!$G$1:$H$14,2,0)*Добавить18[[#This Row],[количество_единиц_товара]]</f>
        <v>34000</v>
      </c>
      <c r="E631" s="14" t="s">
        <v>70</v>
      </c>
      <c r="F631" s="14" t="s">
        <v>95</v>
      </c>
    </row>
    <row r="632" spans="1:6" x14ac:dyDescent="0.3">
      <c r="A632" s="40">
        <v>43995.553612754629</v>
      </c>
      <c r="B632" s="14" t="s">
        <v>51</v>
      </c>
      <c r="C632" s="14">
        <v>34</v>
      </c>
      <c r="D632" s="47">
        <f>VLOOKUP(Добавить18[[#This Row],[Товар]],Итоговая!$G$1:$H$14,2,0)*Добавить18[[#This Row],[количество_единиц_товара]]</f>
        <v>87040</v>
      </c>
      <c r="E632" s="14" t="s">
        <v>69</v>
      </c>
      <c r="F632" s="14" t="s">
        <v>95</v>
      </c>
    </row>
    <row r="633" spans="1:6" x14ac:dyDescent="0.3">
      <c r="A633" s="40">
        <v>44019.143972951388</v>
      </c>
      <c r="B633" s="14" t="s">
        <v>50</v>
      </c>
      <c r="C633" s="14">
        <v>24</v>
      </c>
      <c r="D633" s="47">
        <f>VLOOKUP(Добавить18[[#This Row],[Товар]],Итоговая!$G$1:$H$14,2,0)*Добавить18[[#This Row],[количество_единиц_товара]]</f>
        <v>52800</v>
      </c>
      <c r="E633" s="14" t="s">
        <v>69</v>
      </c>
      <c r="F633" s="14" t="s">
        <v>95</v>
      </c>
    </row>
    <row r="634" spans="1:6" x14ac:dyDescent="0.3">
      <c r="A634" s="40">
        <v>44023.302238518518</v>
      </c>
      <c r="B634" s="14" t="s">
        <v>59</v>
      </c>
      <c r="C634" s="14">
        <v>12</v>
      </c>
      <c r="D634" s="47">
        <f>VLOOKUP(Добавить18[[#This Row],[Товар]],Итоговая!$G$1:$H$14,2,0)*Добавить18[[#This Row],[количество_единиц_товара]]</f>
        <v>24000</v>
      </c>
      <c r="E634" s="14" t="s">
        <v>69</v>
      </c>
      <c r="F634" s="14" t="s">
        <v>95</v>
      </c>
    </row>
    <row r="635" spans="1:6" x14ac:dyDescent="0.3">
      <c r="A635" s="40">
        <v>44026.899521504631</v>
      </c>
      <c r="B635" s="14" t="s">
        <v>58</v>
      </c>
      <c r="C635" s="14">
        <v>38</v>
      </c>
      <c r="D635" s="47">
        <f>VLOOKUP(Добавить18[[#This Row],[Товар]],Итоговая!$G$1:$H$14,2,0)*Добавить18[[#This Row],[количество_единиц_товара]]</f>
        <v>169290</v>
      </c>
      <c r="E635" s="14" t="s">
        <v>69</v>
      </c>
      <c r="F635" s="14" t="s">
        <v>95</v>
      </c>
    </row>
    <row r="636" spans="1:6" x14ac:dyDescent="0.3">
      <c r="A636" s="40">
        <v>44034.700138206019</v>
      </c>
      <c r="B636" s="14" t="s">
        <v>51</v>
      </c>
      <c r="C636" s="14">
        <v>24</v>
      </c>
      <c r="D636" s="47">
        <f>VLOOKUP(Добавить18[[#This Row],[Товар]],Итоговая!$G$1:$H$14,2,0)*Добавить18[[#This Row],[количество_единиц_товара]]</f>
        <v>61440</v>
      </c>
      <c r="E636" s="14" t="s">
        <v>70</v>
      </c>
      <c r="F636" s="14" t="s">
        <v>95</v>
      </c>
    </row>
    <row r="637" spans="1:6" x14ac:dyDescent="0.3">
      <c r="A637" s="40">
        <v>44038.898069872688</v>
      </c>
      <c r="B637" s="14" t="s">
        <v>55</v>
      </c>
      <c r="C637" s="14">
        <v>19</v>
      </c>
      <c r="D637" s="47">
        <f>VLOOKUP(Добавить18[[#This Row],[Товар]],Итоговая!$G$1:$H$14,2,0)*Добавить18[[#This Row],[количество_единиц_товара]]</f>
        <v>85500</v>
      </c>
      <c r="E637" s="14" t="s">
        <v>69</v>
      </c>
      <c r="F637" s="14" t="s">
        <v>95</v>
      </c>
    </row>
    <row r="638" spans="1:6" x14ac:dyDescent="0.3">
      <c r="A638" s="40">
        <v>44052.752740625001</v>
      </c>
      <c r="B638" s="14" t="s">
        <v>58</v>
      </c>
      <c r="C638" s="14">
        <v>14</v>
      </c>
      <c r="D638" s="47">
        <f>VLOOKUP(Добавить18[[#This Row],[Товар]],Итоговая!$G$1:$H$14,2,0)*Добавить18[[#This Row],[количество_единиц_товара]]</f>
        <v>62370</v>
      </c>
      <c r="E638" s="14" t="s">
        <v>69</v>
      </c>
      <c r="F638" s="14" t="s">
        <v>95</v>
      </c>
    </row>
    <row r="639" spans="1:6" x14ac:dyDescent="0.3">
      <c r="A639" s="40">
        <v>44060.155178807872</v>
      </c>
      <c r="B639" s="14" t="s">
        <v>53</v>
      </c>
      <c r="C639" s="14">
        <v>21</v>
      </c>
      <c r="D639" s="47">
        <f>VLOOKUP(Добавить18[[#This Row],[Товар]],Итоговая!$G$1:$H$14,2,0)*Добавить18[[#This Row],[количество_единиц_товара]]</f>
        <v>37548</v>
      </c>
      <c r="E639" s="14" t="s">
        <v>69</v>
      </c>
      <c r="F639" s="14" t="s">
        <v>95</v>
      </c>
    </row>
    <row r="640" spans="1:6" x14ac:dyDescent="0.3">
      <c r="A640" s="40">
        <v>44077.272752476849</v>
      </c>
      <c r="B640" s="14" t="s">
        <v>51</v>
      </c>
      <c r="C640" s="14">
        <v>37</v>
      </c>
      <c r="D640" s="47">
        <f>VLOOKUP(Добавить18[[#This Row],[Товар]],Итоговая!$G$1:$H$14,2,0)*Добавить18[[#This Row],[количество_единиц_товара]]</f>
        <v>94720</v>
      </c>
      <c r="E640" s="14" t="s">
        <v>70</v>
      </c>
      <c r="F640" s="14" t="s">
        <v>95</v>
      </c>
    </row>
    <row r="641" spans="1:6" x14ac:dyDescent="0.3">
      <c r="A641" s="40">
        <v>44082.034003414352</v>
      </c>
      <c r="B641" s="14" t="s">
        <v>51</v>
      </c>
      <c r="C641" s="14">
        <v>16</v>
      </c>
      <c r="D641" s="47">
        <f>VLOOKUP(Добавить18[[#This Row],[Товар]],Итоговая!$G$1:$H$14,2,0)*Добавить18[[#This Row],[количество_единиц_товара]]</f>
        <v>40960</v>
      </c>
      <c r="E641" s="14" t="s">
        <v>69</v>
      </c>
      <c r="F641" s="14" t="s">
        <v>95</v>
      </c>
    </row>
    <row r="642" spans="1:6" x14ac:dyDescent="0.3">
      <c r="A642" s="40">
        <v>44089.346790902775</v>
      </c>
      <c r="B642" s="14" t="s">
        <v>52</v>
      </c>
      <c r="C642" s="14">
        <v>34</v>
      </c>
      <c r="D642" s="47">
        <f>VLOOKUP(Добавить18[[#This Row],[Товар]],Итоговая!$G$1:$H$14,2,0)*Добавить18[[#This Row],[количество_единиц_товара]]</f>
        <v>23120</v>
      </c>
      <c r="E642" s="14" t="s">
        <v>69</v>
      </c>
      <c r="F642" s="14" t="s">
        <v>95</v>
      </c>
    </row>
    <row r="643" spans="1:6" x14ac:dyDescent="0.3">
      <c r="A643" s="40">
        <v>44091.612151793983</v>
      </c>
      <c r="B643" s="14" t="s">
        <v>60</v>
      </c>
      <c r="C643" s="14">
        <v>34</v>
      </c>
      <c r="D643" s="47">
        <f>VLOOKUP(Добавить18[[#This Row],[Товар]],Итоговая!$G$1:$H$14,2,0)*Добавить18[[#This Row],[количество_единиц_товара]]</f>
        <v>196826</v>
      </c>
      <c r="E643" s="14" t="s">
        <v>69</v>
      </c>
      <c r="F643" s="14" t="s">
        <v>95</v>
      </c>
    </row>
    <row r="644" spans="1:6" x14ac:dyDescent="0.3">
      <c r="A644" s="40">
        <v>44093.755565439817</v>
      </c>
      <c r="B644" s="14" t="s">
        <v>54</v>
      </c>
      <c r="C644" s="14">
        <v>12</v>
      </c>
      <c r="D644" s="47">
        <f>VLOOKUP(Добавить18[[#This Row],[Товар]],Итоговая!$G$1:$H$14,2,0)*Добавить18[[#This Row],[количество_единиц_товара]]</f>
        <v>29400</v>
      </c>
      <c r="E644" s="14" t="s">
        <v>70</v>
      </c>
      <c r="F644" s="14" t="s">
        <v>95</v>
      </c>
    </row>
    <row r="645" spans="1:6" x14ac:dyDescent="0.3">
      <c r="A645" s="40">
        <v>44109.39343989583</v>
      </c>
      <c r="B645" s="14" t="s">
        <v>52</v>
      </c>
      <c r="C645" s="14">
        <v>23</v>
      </c>
      <c r="D645" s="47">
        <f>VLOOKUP(Добавить18[[#This Row],[Товар]],Итоговая!$G$1:$H$14,2,0)*Добавить18[[#This Row],[количество_единиц_товара]]</f>
        <v>15640</v>
      </c>
      <c r="E645" s="14" t="s">
        <v>69</v>
      </c>
      <c r="F645" s="14" t="s">
        <v>95</v>
      </c>
    </row>
    <row r="646" spans="1:6" x14ac:dyDescent="0.3">
      <c r="A646" s="40">
        <v>44117.971184224538</v>
      </c>
      <c r="B646" s="14" t="s">
        <v>58</v>
      </c>
      <c r="C646" s="14">
        <v>13</v>
      </c>
      <c r="D646" s="47">
        <f>VLOOKUP(Добавить18[[#This Row],[Товар]],Итоговая!$G$1:$H$14,2,0)*Добавить18[[#This Row],[количество_единиц_товара]]</f>
        <v>57915</v>
      </c>
      <c r="E646" s="14" t="s">
        <v>69</v>
      </c>
      <c r="F646" s="14" t="s">
        <v>95</v>
      </c>
    </row>
    <row r="647" spans="1:6" x14ac:dyDescent="0.3">
      <c r="A647" s="40">
        <v>44119.859790972223</v>
      </c>
      <c r="B647" s="14" t="s">
        <v>51</v>
      </c>
      <c r="C647" s="14">
        <v>37</v>
      </c>
      <c r="D647" s="47">
        <f>VLOOKUP(Добавить18[[#This Row],[Товар]],Итоговая!$G$1:$H$14,2,0)*Добавить18[[#This Row],[количество_единиц_товара]]</f>
        <v>94720</v>
      </c>
      <c r="E647" s="14" t="s">
        <v>69</v>
      </c>
      <c r="F647" s="14" t="s">
        <v>95</v>
      </c>
    </row>
    <row r="648" spans="1:6" x14ac:dyDescent="0.3">
      <c r="A648" s="40">
        <v>44130.417985243053</v>
      </c>
      <c r="B648" s="14" t="s">
        <v>51</v>
      </c>
      <c r="C648" s="14">
        <v>31</v>
      </c>
      <c r="D648" s="47">
        <f>VLOOKUP(Добавить18[[#This Row],[Товар]],Итоговая!$G$1:$H$14,2,0)*Добавить18[[#This Row],[количество_единиц_товара]]</f>
        <v>79360</v>
      </c>
      <c r="E648" s="14" t="s">
        <v>70</v>
      </c>
      <c r="F648" s="14" t="s">
        <v>95</v>
      </c>
    </row>
    <row r="649" spans="1:6" x14ac:dyDescent="0.3">
      <c r="A649" s="40">
        <v>44138.969871331021</v>
      </c>
      <c r="B649" s="14" t="s">
        <v>60</v>
      </c>
      <c r="C649" s="14">
        <v>21</v>
      </c>
      <c r="D649" s="47">
        <f>VLOOKUP(Добавить18[[#This Row],[Товар]],Итоговая!$G$1:$H$14,2,0)*Добавить18[[#This Row],[количество_единиц_товара]]</f>
        <v>121569</v>
      </c>
      <c r="E649" s="14" t="s">
        <v>69</v>
      </c>
      <c r="F649" s="14" t="s">
        <v>95</v>
      </c>
    </row>
    <row r="650" spans="1:6" x14ac:dyDescent="0.3">
      <c r="A650" s="40">
        <v>44142.419525960649</v>
      </c>
      <c r="B650" s="14" t="s">
        <v>58</v>
      </c>
      <c r="C650" s="14">
        <v>25</v>
      </c>
      <c r="D650" s="47">
        <f>VLOOKUP(Добавить18[[#This Row],[Товар]],Итоговая!$G$1:$H$14,2,0)*Добавить18[[#This Row],[количество_единиц_товара]]</f>
        <v>111375</v>
      </c>
      <c r="E650" s="14" t="s">
        <v>69</v>
      </c>
      <c r="F650" s="14" t="s">
        <v>95</v>
      </c>
    </row>
    <row r="651" spans="1:6" x14ac:dyDescent="0.3">
      <c r="A651" s="40">
        <v>44144.708528310184</v>
      </c>
      <c r="B651" s="14" t="s">
        <v>55</v>
      </c>
      <c r="C651" s="14">
        <v>14</v>
      </c>
      <c r="D651" s="47">
        <f>VLOOKUP(Добавить18[[#This Row],[Товар]],Итоговая!$G$1:$H$14,2,0)*Добавить18[[#This Row],[количество_единиц_товара]]</f>
        <v>63000</v>
      </c>
      <c r="E651" s="14" t="s">
        <v>69</v>
      </c>
      <c r="F651" s="14" t="s">
        <v>95</v>
      </c>
    </row>
    <row r="652" spans="1:6" x14ac:dyDescent="0.3">
      <c r="A652" s="40">
        <v>44153.375301701388</v>
      </c>
      <c r="B652" s="14" t="s">
        <v>50</v>
      </c>
      <c r="C652" s="14">
        <v>37</v>
      </c>
      <c r="D652" s="47">
        <f>VLOOKUP(Добавить18[[#This Row],[Товар]],Итоговая!$G$1:$H$14,2,0)*Добавить18[[#This Row],[количество_единиц_товара]]</f>
        <v>81400</v>
      </c>
      <c r="E652" s="14" t="s">
        <v>70</v>
      </c>
      <c r="F652" s="14" t="s">
        <v>95</v>
      </c>
    </row>
    <row r="653" spans="1:6" x14ac:dyDescent="0.3">
      <c r="A653" s="40">
        <v>44166.764069907411</v>
      </c>
      <c r="B653" s="14" t="s">
        <v>49</v>
      </c>
      <c r="C653" s="14">
        <v>14</v>
      </c>
      <c r="D653" s="47">
        <f>VLOOKUP(Добавить18[[#This Row],[Товар]],Итоговая!$G$1:$H$14,2,0)*Добавить18[[#This Row],[количество_единиц_товара]]</f>
        <v>43400</v>
      </c>
      <c r="E653" s="14" t="s">
        <v>69</v>
      </c>
      <c r="F653" s="14" t="s">
        <v>95</v>
      </c>
    </row>
    <row r="654" spans="1:6" x14ac:dyDescent="0.3">
      <c r="A654" s="40">
        <v>44168.372073379629</v>
      </c>
      <c r="B654" s="14" t="s">
        <v>51</v>
      </c>
      <c r="C654" s="14">
        <v>23</v>
      </c>
      <c r="D654" s="47">
        <f>VLOOKUP(Добавить18[[#This Row],[Товар]],Итоговая!$G$1:$H$14,2,0)*Добавить18[[#This Row],[количество_единиц_товара]]</f>
        <v>58880</v>
      </c>
      <c r="E654" s="14" t="s">
        <v>69</v>
      </c>
      <c r="F654" s="14" t="s">
        <v>95</v>
      </c>
    </row>
    <row r="655" spans="1:6" x14ac:dyDescent="0.3">
      <c r="A655" s="40">
        <v>44172.791236319441</v>
      </c>
      <c r="B655" s="14" t="s">
        <v>54</v>
      </c>
      <c r="C655" s="14">
        <v>15</v>
      </c>
      <c r="D655" s="47">
        <f>VLOOKUP(Добавить18[[#This Row],[Товар]],Итоговая!$G$1:$H$14,2,0)*Добавить18[[#This Row],[количество_единиц_товара]]</f>
        <v>36750</v>
      </c>
      <c r="E655" s="14" t="s">
        <v>69</v>
      </c>
      <c r="F655" s="14" t="s">
        <v>95</v>
      </c>
    </row>
    <row r="656" spans="1:6" x14ac:dyDescent="0.3">
      <c r="A656" s="40">
        <v>44191.577530879629</v>
      </c>
      <c r="B656" s="14" t="s">
        <v>61</v>
      </c>
      <c r="C656" s="14">
        <v>24</v>
      </c>
      <c r="D656" s="47">
        <f>VLOOKUP(Добавить18[[#This Row],[Товар]],Итоговая!$G$1:$H$14,2,0)*Добавить18[[#This Row],[количество_единиц_товара]]</f>
        <v>83280</v>
      </c>
      <c r="E656" s="14" t="s">
        <v>69</v>
      </c>
      <c r="F656" s="14" t="s">
        <v>95</v>
      </c>
    </row>
    <row r="657" spans="1:6" x14ac:dyDescent="0.3">
      <c r="A657" s="40">
        <v>44199.838401527777</v>
      </c>
      <c r="B657" s="14" t="s">
        <v>54</v>
      </c>
      <c r="C657" s="14">
        <v>23</v>
      </c>
      <c r="D657" s="47">
        <f>VLOOKUP(Добавить18[[#This Row],[Товар]],Итоговая!$G$1:$H$14,2,0)*Добавить18[[#This Row],[количество_единиц_товара]]</f>
        <v>56350</v>
      </c>
      <c r="E657" s="14" t="s">
        <v>69</v>
      </c>
      <c r="F657" s="14" t="s">
        <v>95</v>
      </c>
    </row>
    <row r="658" spans="1:6" x14ac:dyDescent="0.3">
      <c r="A658" s="40">
        <v>44210.914496122685</v>
      </c>
      <c r="B658" s="14" t="s">
        <v>56</v>
      </c>
      <c r="C658" s="14">
        <v>11</v>
      </c>
      <c r="D658" s="47">
        <f>VLOOKUP(Добавить18[[#This Row],[Товар]],Итоговая!$G$1:$H$14,2,0)*Добавить18[[#This Row],[количество_единиц_товара]]</f>
        <v>17600</v>
      </c>
      <c r="E658" s="14" t="s">
        <v>69</v>
      </c>
      <c r="F658" s="14" t="s">
        <v>95</v>
      </c>
    </row>
    <row r="659" spans="1:6" x14ac:dyDescent="0.3">
      <c r="A659" s="40">
        <v>44215.089094351853</v>
      </c>
      <c r="B659" s="14" t="s">
        <v>60</v>
      </c>
      <c r="C659" s="14">
        <v>12</v>
      </c>
      <c r="D659" s="47">
        <f>VLOOKUP(Добавить18[[#This Row],[Товар]],Итоговая!$G$1:$H$14,2,0)*Добавить18[[#This Row],[количество_единиц_товара]]</f>
        <v>69468</v>
      </c>
      <c r="E659" s="14" t="s">
        <v>69</v>
      </c>
      <c r="F659" s="14" t="s">
        <v>95</v>
      </c>
    </row>
    <row r="660" spans="1:6" x14ac:dyDescent="0.3">
      <c r="A660" s="40">
        <v>44227.478009467595</v>
      </c>
      <c r="B660" s="14" t="s">
        <v>51</v>
      </c>
      <c r="C660" s="14">
        <v>19</v>
      </c>
      <c r="D660" s="47">
        <f>VLOOKUP(Добавить18[[#This Row],[Товар]],Итоговая!$G$1:$H$14,2,0)*Добавить18[[#This Row],[количество_единиц_товара]]</f>
        <v>48640</v>
      </c>
      <c r="E660" s="14" t="s">
        <v>69</v>
      </c>
      <c r="F660" s="14" t="s">
        <v>95</v>
      </c>
    </row>
    <row r="661" spans="1:6" x14ac:dyDescent="0.3">
      <c r="A661" s="40">
        <v>44236.822675902775</v>
      </c>
      <c r="B661" s="14" t="s">
        <v>50</v>
      </c>
      <c r="C661" s="14">
        <v>40</v>
      </c>
      <c r="D661" s="47">
        <f>VLOOKUP(Добавить18[[#This Row],[Товар]],Итоговая!$G$1:$H$14,2,0)*Добавить18[[#This Row],[количество_единиц_товара]]</f>
        <v>88000</v>
      </c>
      <c r="E661" s="14" t="s">
        <v>69</v>
      </c>
      <c r="F661" s="14" t="s">
        <v>95</v>
      </c>
    </row>
    <row r="662" spans="1:6" x14ac:dyDescent="0.3">
      <c r="A662" s="40">
        <v>44241.384426909724</v>
      </c>
      <c r="B662" s="14" t="s">
        <v>56</v>
      </c>
      <c r="C662" s="14">
        <v>12</v>
      </c>
      <c r="D662" s="47">
        <f>VLOOKUP(Добавить18[[#This Row],[Товар]],Итоговая!$G$1:$H$14,2,0)*Добавить18[[#This Row],[количество_единиц_товара]]</f>
        <v>19200</v>
      </c>
      <c r="E662" s="14" t="s">
        <v>69</v>
      </c>
      <c r="F662" s="14" t="s">
        <v>95</v>
      </c>
    </row>
    <row r="663" spans="1:6" x14ac:dyDescent="0.3">
      <c r="A663" s="40">
        <v>44247.857225740743</v>
      </c>
      <c r="B663" s="14" t="s">
        <v>59</v>
      </c>
      <c r="C663" s="14">
        <v>20</v>
      </c>
      <c r="D663" s="47">
        <f>VLOOKUP(Добавить18[[#This Row],[Товар]],Итоговая!$G$1:$H$14,2,0)*Добавить18[[#This Row],[количество_единиц_товара]]</f>
        <v>40000</v>
      </c>
      <c r="E663" s="14" t="s">
        <v>69</v>
      </c>
      <c r="F663" s="14" t="s">
        <v>95</v>
      </c>
    </row>
    <row r="664" spans="1:6" x14ac:dyDescent="0.3">
      <c r="A664" s="40">
        <v>44279.024333148147</v>
      </c>
      <c r="B664" s="14" t="s">
        <v>54</v>
      </c>
      <c r="C664" s="14">
        <v>35</v>
      </c>
      <c r="D664" s="47">
        <f>VLOOKUP(Добавить18[[#This Row],[Товар]],Итоговая!$G$1:$H$14,2,0)*Добавить18[[#This Row],[количество_единиц_товара]]</f>
        <v>85750</v>
      </c>
      <c r="E664" s="14" t="s">
        <v>69</v>
      </c>
      <c r="F664" s="14" t="s">
        <v>95</v>
      </c>
    </row>
    <row r="665" spans="1:6" x14ac:dyDescent="0.3">
      <c r="A665" s="40">
        <v>44286.434090543982</v>
      </c>
      <c r="B665" s="14" t="s">
        <v>57</v>
      </c>
      <c r="C665" s="14">
        <v>18</v>
      </c>
      <c r="D665" s="47">
        <f>VLOOKUP(Добавить18[[#This Row],[Товар]],Итоговая!$G$1:$H$14,2,0)*Добавить18[[#This Row],[количество_единиц_товара]]</f>
        <v>68328</v>
      </c>
      <c r="E665" s="14" t="s">
        <v>69</v>
      </c>
      <c r="F665" s="14" t="s">
        <v>95</v>
      </c>
    </row>
    <row r="666" spans="1:6" x14ac:dyDescent="0.3">
      <c r="A666" s="40">
        <v>44303.019638425925</v>
      </c>
      <c r="B666" s="14" t="s">
        <v>50</v>
      </c>
      <c r="C666" s="14">
        <v>21</v>
      </c>
      <c r="D666" s="47">
        <f>VLOOKUP(Добавить18[[#This Row],[Товар]],Итоговая!$G$1:$H$14,2,0)*Добавить18[[#This Row],[количество_единиц_товара]]</f>
        <v>46200</v>
      </c>
      <c r="E666" s="14" t="s">
        <v>69</v>
      </c>
      <c r="F666" s="14" t="s">
        <v>95</v>
      </c>
    </row>
    <row r="667" spans="1:6" x14ac:dyDescent="0.3">
      <c r="A667" s="40">
        <v>44304.855890243052</v>
      </c>
      <c r="B667" s="14" t="s">
        <v>56</v>
      </c>
      <c r="C667" s="14">
        <v>32</v>
      </c>
      <c r="D667" s="47">
        <f>VLOOKUP(Добавить18[[#This Row],[Товар]],Итоговая!$G$1:$H$14,2,0)*Добавить18[[#This Row],[количество_единиц_товара]]</f>
        <v>51200</v>
      </c>
      <c r="E667" s="14" t="s">
        <v>69</v>
      </c>
      <c r="F667" s="14" t="s">
        <v>95</v>
      </c>
    </row>
    <row r="668" spans="1:6" x14ac:dyDescent="0.3">
      <c r="A668" s="40">
        <v>44309.006631921293</v>
      </c>
      <c r="B668" s="14" t="s">
        <v>49</v>
      </c>
      <c r="C668" s="14">
        <v>24</v>
      </c>
      <c r="D668" s="47">
        <f>VLOOKUP(Добавить18[[#This Row],[Товар]],Итоговая!$G$1:$H$14,2,0)*Добавить18[[#This Row],[количество_единиц_товара]]</f>
        <v>74400</v>
      </c>
      <c r="E668" s="14" t="s">
        <v>69</v>
      </c>
      <c r="F668" s="14" t="s">
        <v>95</v>
      </c>
    </row>
    <row r="669" spans="1:6" x14ac:dyDescent="0.3">
      <c r="A669" s="40">
        <v>44317.330803495373</v>
      </c>
      <c r="B669" s="14" t="s">
        <v>61</v>
      </c>
      <c r="C669" s="14">
        <v>39</v>
      </c>
      <c r="D669" s="47">
        <f>VLOOKUP(Добавить18[[#This Row],[Товар]],Итоговая!$G$1:$H$14,2,0)*Добавить18[[#This Row],[количество_единиц_товара]]</f>
        <v>135330</v>
      </c>
      <c r="E669" s="14" t="s">
        <v>70</v>
      </c>
      <c r="F669" s="14" t="s">
        <v>95</v>
      </c>
    </row>
    <row r="670" spans="1:6" x14ac:dyDescent="0.3">
      <c r="A670" s="40">
        <v>44325.492143854164</v>
      </c>
      <c r="B670" s="14" t="s">
        <v>52</v>
      </c>
      <c r="C670" s="14">
        <v>29</v>
      </c>
      <c r="D670" s="47">
        <f>VLOOKUP(Добавить18[[#This Row],[Товар]],Итоговая!$G$1:$H$14,2,0)*Добавить18[[#This Row],[количество_единиц_товара]]</f>
        <v>19720</v>
      </c>
      <c r="E670" s="14" t="s">
        <v>69</v>
      </c>
      <c r="F670" s="14" t="s">
        <v>95</v>
      </c>
    </row>
    <row r="671" spans="1:6" x14ac:dyDescent="0.3">
      <c r="A671" s="40">
        <v>44347.964683379629</v>
      </c>
      <c r="B671" s="14" t="s">
        <v>56</v>
      </c>
      <c r="C671" s="14">
        <v>31</v>
      </c>
      <c r="D671" s="47">
        <f>VLOOKUP(Добавить18[[#This Row],[Товар]],Итоговая!$G$1:$H$14,2,0)*Добавить18[[#This Row],[количество_единиц_товара]]</f>
        <v>49600</v>
      </c>
      <c r="E671" s="14" t="s">
        <v>69</v>
      </c>
      <c r="F671" s="14" t="s">
        <v>95</v>
      </c>
    </row>
    <row r="672" spans="1:6" x14ac:dyDescent="0.3">
      <c r="A672" s="40">
        <v>44359.048262430559</v>
      </c>
      <c r="B672" s="14" t="s">
        <v>61</v>
      </c>
      <c r="C672" s="14">
        <v>24</v>
      </c>
      <c r="D672" s="47">
        <f>VLOOKUP(Добавить18[[#This Row],[Товар]],Итоговая!$G$1:$H$14,2,0)*Добавить18[[#This Row],[количество_единиц_товара]]</f>
        <v>83280</v>
      </c>
      <c r="E672" s="14" t="s">
        <v>70</v>
      </c>
      <c r="F672" s="14" t="s">
        <v>95</v>
      </c>
    </row>
    <row r="673" spans="1:6" x14ac:dyDescent="0.3">
      <c r="A673" s="40">
        <v>44368.761271134259</v>
      </c>
      <c r="B673" s="14" t="s">
        <v>50</v>
      </c>
      <c r="C673" s="14">
        <v>33</v>
      </c>
      <c r="D673" s="47">
        <f>VLOOKUP(Добавить18[[#This Row],[Товар]],Итоговая!$G$1:$H$14,2,0)*Добавить18[[#This Row],[количество_единиц_товара]]</f>
        <v>72600</v>
      </c>
      <c r="E673" s="14" t="s">
        <v>70</v>
      </c>
      <c r="F673" s="14" t="s">
        <v>95</v>
      </c>
    </row>
    <row r="674" spans="1:6" x14ac:dyDescent="0.3">
      <c r="A674" s="40">
        <v>44386.087288368057</v>
      </c>
      <c r="B674" s="14" t="s">
        <v>49</v>
      </c>
      <c r="C674" s="14">
        <v>28</v>
      </c>
      <c r="D674" s="47">
        <f>VLOOKUP(Добавить18[[#This Row],[Товар]],Итоговая!$G$1:$H$14,2,0)*Добавить18[[#This Row],[количество_единиц_товара]]</f>
        <v>86800</v>
      </c>
      <c r="E674" s="14" t="s">
        <v>70</v>
      </c>
      <c r="F674" s="14" t="s">
        <v>95</v>
      </c>
    </row>
    <row r="675" spans="1:6" x14ac:dyDescent="0.3">
      <c r="A675" s="40">
        <v>44400.996464293981</v>
      </c>
      <c r="B675" s="14" t="s">
        <v>59</v>
      </c>
      <c r="C675" s="14">
        <v>37</v>
      </c>
      <c r="D675" s="47">
        <f>VLOOKUP(Добавить18[[#This Row],[Товар]],Итоговая!$G$1:$H$14,2,0)*Добавить18[[#This Row],[количество_единиц_товара]]</f>
        <v>74000</v>
      </c>
      <c r="E675" s="14" t="s">
        <v>70</v>
      </c>
      <c r="F675" s="14" t="s">
        <v>95</v>
      </c>
    </row>
    <row r="676" spans="1:6" x14ac:dyDescent="0.3">
      <c r="A676" s="40">
        <v>44404.03064809028</v>
      </c>
      <c r="B676" s="14" t="s">
        <v>50</v>
      </c>
      <c r="C676" s="14">
        <v>21</v>
      </c>
      <c r="D676" s="47">
        <f>VLOOKUP(Добавить18[[#This Row],[Товар]],Итоговая!$G$1:$H$14,2,0)*Добавить18[[#This Row],[количество_единиц_товара]]</f>
        <v>46200</v>
      </c>
      <c r="E676" s="14" t="s">
        <v>70</v>
      </c>
      <c r="F676" s="14" t="s">
        <v>95</v>
      </c>
    </row>
    <row r="677" spans="1:6" x14ac:dyDescent="0.3">
      <c r="A677" s="40">
        <v>44411.314088657404</v>
      </c>
      <c r="B677" s="14" t="s">
        <v>52</v>
      </c>
      <c r="C677" s="14">
        <v>23</v>
      </c>
      <c r="D677" s="47">
        <f>VLOOKUP(Добавить18[[#This Row],[Товар]],Итоговая!$G$1:$H$14,2,0)*Добавить18[[#This Row],[количество_единиц_товара]]</f>
        <v>15640</v>
      </c>
      <c r="E677" s="14" t="s">
        <v>70</v>
      </c>
      <c r="F677" s="14" t="s">
        <v>95</v>
      </c>
    </row>
    <row r="678" spans="1:6" x14ac:dyDescent="0.3">
      <c r="A678" s="40">
        <v>44418.073134062499</v>
      </c>
      <c r="B678" s="14" t="s">
        <v>52</v>
      </c>
      <c r="C678" s="14">
        <v>31</v>
      </c>
      <c r="D678" s="47">
        <f>VLOOKUP(Добавить18[[#This Row],[Товар]],Итоговая!$G$1:$H$14,2,0)*Добавить18[[#This Row],[количество_единиц_товара]]</f>
        <v>21080</v>
      </c>
      <c r="E678" s="14" t="s">
        <v>70</v>
      </c>
      <c r="F678" s="14" t="s">
        <v>95</v>
      </c>
    </row>
    <row r="679" spans="1:6" x14ac:dyDescent="0.3">
      <c r="A679" s="40">
        <v>44421.820329826391</v>
      </c>
      <c r="B679" s="14" t="s">
        <v>61</v>
      </c>
      <c r="C679" s="14">
        <v>18</v>
      </c>
      <c r="D679" s="47">
        <f>VLOOKUP(Добавить18[[#This Row],[Товар]],Итоговая!$G$1:$H$14,2,0)*Добавить18[[#This Row],[количество_единиц_товара]]</f>
        <v>62460</v>
      </c>
      <c r="E679" s="14" t="s">
        <v>70</v>
      </c>
      <c r="F679" s="14" t="s">
        <v>95</v>
      </c>
    </row>
    <row r="680" spans="1:6" x14ac:dyDescent="0.3">
      <c r="A680" s="40">
        <v>44436.088904756944</v>
      </c>
      <c r="B680" s="14" t="s">
        <v>50</v>
      </c>
      <c r="C680" s="14">
        <v>11</v>
      </c>
      <c r="D680" s="47">
        <f>VLOOKUP(Добавить18[[#This Row],[Товар]],Итоговая!$G$1:$H$14,2,0)*Добавить18[[#This Row],[количество_единиц_товара]]</f>
        <v>24200</v>
      </c>
      <c r="E680" s="14" t="s">
        <v>70</v>
      </c>
      <c r="F680" s="14" t="s">
        <v>95</v>
      </c>
    </row>
    <row r="681" spans="1:6" x14ac:dyDescent="0.3">
      <c r="A681" s="44">
        <v>42386.496562696761</v>
      </c>
      <c r="B681" s="45" t="s">
        <v>59</v>
      </c>
      <c r="C681" s="45">
        <v>25</v>
      </c>
      <c r="D681" s="47">
        <f>VLOOKUP(Добавить18[[#This Row],[Товар]],Итоговая!$G$1:$H$14,2,0)*Добавить18[[#This Row],[количество_единиц_товара]]</f>
        <v>50000</v>
      </c>
      <c r="E681" s="45" t="s">
        <v>79</v>
      </c>
      <c r="F681" s="45" t="s">
        <v>96</v>
      </c>
    </row>
    <row r="682" spans="1:6" x14ac:dyDescent="0.3">
      <c r="A682" s="44">
        <v>42389.494366030092</v>
      </c>
      <c r="B682" s="45" t="s">
        <v>53</v>
      </c>
      <c r="C682" s="45">
        <v>11</v>
      </c>
      <c r="D682" s="47">
        <f>VLOOKUP(Добавить18[[#This Row],[Товар]],Итоговая!$G$1:$H$14,2,0)*Добавить18[[#This Row],[количество_единиц_товара]]</f>
        <v>19668</v>
      </c>
      <c r="E682" s="45" t="s">
        <v>80</v>
      </c>
      <c r="F682" s="45" t="s">
        <v>96</v>
      </c>
    </row>
    <row r="683" spans="1:6" x14ac:dyDescent="0.3">
      <c r="A683" s="44">
        <v>42390.648076747682</v>
      </c>
      <c r="B683" s="45" t="s">
        <v>51</v>
      </c>
      <c r="C683" s="45">
        <v>18</v>
      </c>
      <c r="D683" s="47">
        <f>VLOOKUP(Добавить18[[#This Row],[Товар]],Итоговая!$G$1:$H$14,2,0)*Добавить18[[#This Row],[количество_единиц_товара]]</f>
        <v>46080</v>
      </c>
      <c r="E683" s="45" t="s">
        <v>81</v>
      </c>
      <c r="F683" s="45" t="s">
        <v>96</v>
      </c>
    </row>
    <row r="684" spans="1:6" x14ac:dyDescent="0.3">
      <c r="A684" s="44">
        <v>42400.337457870373</v>
      </c>
      <c r="B684" s="45" t="s">
        <v>50</v>
      </c>
      <c r="C684" s="45">
        <v>38</v>
      </c>
      <c r="D684" s="47">
        <f>VLOOKUP(Добавить18[[#This Row],[Товар]],Итоговая!$G$1:$H$14,2,0)*Добавить18[[#This Row],[количество_единиц_товара]]</f>
        <v>83600</v>
      </c>
      <c r="E684" s="45" t="s">
        <v>80</v>
      </c>
      <c r="F684" s="45" t="s">
        <v>96</v>
      </c>
    </row>
    <row r="685" spans="1:6" x14ac:dyDescent="0.3">
      <c r="A685" s="44">
        <v>42423.845303622686</v>
      </c>
      <c r="B685" s="45" t="s">
        <v>60</v>
      </c>
      <c r="C685" s="45">
        <v>29</v>
      </c>
      <c r="D685" s="47">
        <f>VLOOKUP(Добавить18[[#This Row],[Товар]],Итоговая!$G$1:$H$14,2,0)*Добавить18[[#This Row],[количество_единиц_товара]]</f>
        <v>167881</v>
      </c>
      <c r="E685" s="45" t="s">
        <v>81</v>
      </c>
      <c r="F685" s="45" t="s">
        <v>96</v>
      </c>
    </row>
    <row r="686" spans="1:6" x14ac:dyDescent="0.3">
      <c r="A686" s="44">
        <v>42435.165003310183</v>
      </c>
      <c r="B686" s="45" t="s">
        <v>51</v>
      </c>
      <c r="C686" s="45">
        <v>25</v>
      </c>
      <c r="D686" s="47">
        <f>VLOOKUP(Добавить18[[#This Row],[Товар]],Итоговая!$G$1:$H$14,2,0)*Добавить18[[#This Row],[количество_единиц_товара]]</f>
        <v>64000</v>
      </c>
      <c r="E686" s="45" t="s">
        <v>80</v>
      </c>
      <c r="F686" s="45" t="s">
        <v>96</v>
      </c>
    </row>
    <row r="687" spans="1:6" x14ac:dyDescent="0.3">
      <c r="A687" s="44">
        <v>42456.288040312502</v>
      </c>
      <c r="B687" s="45" t="s">
        <v>57</v>
      </c>
      <c r="C687" s="45">
        <v>35</v>
      </c>
      <c r="D687" s="47">
        <f>VLOOKUP(Добавить18[[#This Row],[Товар]],Итоговая!$G$1:$H$14,2,0)*Добавить18[[#This Row],[количество_единиц_товара]]</f>
        <v>132860</v>
      </c>
      <c r="E687" s="45" t="s">
        <v>80</v>
      </c>
      <c r="F687" s="45" t="s">
        <v>96</v>
      </c>
    </row>
    <row r="688" spans="1:6" x14ac:dyDescent="0.3">
      <c r="A688" s="44">
        <v>42474.675003993056</v>
      </c>
      <c r="B688" s="45" t="s">
        <v>52</v>
      </c>
      <c r="C688" s="45">
        <v>30</v>
      </c>
      <c r="D688" s="47">
        <f>VLOOKUP(Добавить18[[#This Row],[Товар]],Итоговая!$G$1:$H$14,2,0)*Добавить18[[#This Row],[количество_единиц_товара]]</f>
        <v>20400</v>
      </c>
      <c r="E688" s="45" t="s">
        <v>79</v>
      </c>
      <c r="F688" s="45" t="s">
        <v>96</v>
      </c>
    </row>
    <row r="689" spans="1:6" x14ac:dyDescent="0.3">
      <c r="A689" s="44">
        <v>42490.470734826391</v>
      </c>
      <c r="B689" s="45" t="s">
        <v>61</v>
      </c>
      <c r="C689" s="45">
        <v>21</v>
      </c>
      <c r="D689" s="47">
        <f>VLOOKUP(Добавить18[[#This Row],[Товар]],Итоговая!$G$1:$H$14,2,0)*Добавить18[[#This Row],[количество_единиц_товара]]</f>
        <v>72870</v>
      </c>
      <c r="E689" s="45" t="s">
        <v>80</v>
      </c>
      <c r="F689" s="45" t="s">
        <v>96</v>
      </c>
    </row>
    <row r="690" spans="1:6" x14ac:dyDescent="0.3">
      <c r="A690" s="44">
        <v>42496.19849490741</v>
      </c>
      <c r="B690" s="45" t="s">
        <v>50</v>
      </c>
      <c r="C690" s="45">
        <v>34</v>
      </c>
      <c r="D690" s="47">
        <f>VLOOKUP(Добавить18[[#This Row],[Товар]],Итоговая!$G$1:$H$14,2,0)*Добавить18[[#This Row],[количество_единиц_товара]]</f>
        <v>74800</v>
      </c>
      <c r="E690" s="45" t="s">
        <v>79</v>
      </c>
      <c r="F690" s="45" t="s">
        <v>96</v>
      </c>
    </row>
    <row r="691" spans="1:6" x14ac:dyDescent="0.3">
      <c r="A691" s="44">
        <v>42497.076318877313</v>
      </c>
      <c r="B691" s="45" t="s">
        <v>58</v>
      </c>
      <c r="C691" s="45">
        <v>20</v>
      </c>
      <c r="D691" s="47">
        <f>VLOOKUP(Добавить18[[#This Row],[Товар]],Итоговая!$G$1:$H$14,2,0)*Добавить18[[#This Row],[количество_единиц_товара]]</f>
        <v>89100</v>
      </c>
      <c r="E691" s="45" t="s">
        <v>79</v>
      </c>
      <c r="F691" s="45" t="s">
        <v>96</v>
      </c>
    </row>
    <row r="692" spans="1:6" x14ac:dyDescent="0.3">
      <c r="A692" s="44">
        <v>42515.362519189817</v>
      </c>
      <c r="B692" s="45" t="s">
        <v>55</v>
      </c>
      <c r="C692" s="45">
        <v>33</v>
      </c>
      <c r="D692" s="47">
        <f>VLOOKUP(Добавить18[[#This Row],[Товар]],Итоговая!$G$1:$H$14,2,0)*Добавить18[[#This Row],[количество_единиц_товара]]</f>
        <v>148500</v>
      </c>
      <c r="E692" s="45" t="s">
        <v>79</v>
      </c>
      <c r="F692" s="45" t="s">
        <v>96</v>
      </c>
    </row>
    <row r="693" spans="1:6" x14ac:dyDescent="0.3">
      <c r="A693" s="44">
        <v>42515.555511736115</v>
      </c>
      <c r="B693" s="45" t="s">
        <v>56</v>
      </c>
      <c r="C693" s="45">
        <v>26</v>
      </c>
      <c r="D693" s="47">
        <f>VLOOKUP(Добавить18[[#This Row],[Товар]],Итоговая!$G$1:$H$14,2,0)*Добавить18[[#This Row],[количество_единиц_товара]]</f>
        <v>41600</v>
      </c>
      <c r="E693" s="45" t="s">
        <v>79</v>
      </c>
      <c r="F693" s="45" t="s">
        <v>96</v>
      </c>
    </row>
    <row r="694" spans="1:6" x14ac:dyDescent="0.3">
      <c r="A694" s="44">
        <v>42524.232749861112</v>
      </c>
      <c r="B694" s="45" t="s">
        <v>49</v>
      </c>
      <c r="C694" s="45">
        <v>18</v>
      </c>
      <c r="D694" s="47">
        <f>VLOOKUP(Добавить18[[#This Row],[Товар]],Итоговая!$G$1:$H$14,2,0)*Добавить18[[#This Row],[количество_единиц_товара]]</f>
        <v>55800</v>
      </c>
      <c r="E694" s="45" t="s">
        <v>81</v>
      </c>
      <c r="F694" s="45" t="s">
        <v>96</v>
      </c>
    </row>
    <row r="695" spans="1:6" x14ac:dyDescent="0.3">
      <c r="A695" s="44">
        <v>42528.369120613424</v>
      </c>
      <c r="B695" s="45" t="s">
        <v>56</v>
      </c>
      <c r="C695" s="45">
        <v>32</v>
      </c>
      <c r="D695" s="47">
        <f>VLOOKUP(Добавить18[[#This Row],[Товар]],Итоговая!$G$1:$H$14,2,0)*Добавить18[[#This Row],[количество_единиц_товара]]</f>
        <v>51200</v>
      </c>
      <c r="E695" s="45" t="s">
        <v>81</v>
      </c>
      <c r="F695" s="45" t="s">
        <v>96</v>
      </c>
    </row>
    <row r="696" spans="1:6" x14ac:dyDescent="0.3">
      <c r="A696" s="44">
        <v>42545.247661643516</v>
      </c>
      <c r="B696" s="45" t="s">
        <v>60</v>
      </c>
      <c r="C696" s="45">
        <v>14</v>
      </c>
      <c r="D696" s="47">
        <f>VLOOKUP(Добавить18[[#This Row],[Товар]],Итоговая!$G$1:$H$14,2,0)*Добавить18[[#This Row],[количество_единиц_товара]]</f>
        <v>81046</v>
      </c>
      <c r="E696" s="45" t="s">
        <v>81</v>
      </c>
      <c r="F696" s="45" t="s">
        <v>96</v>
      </c>
    </row>
    <row r="697" spans="1:6" x14ac:dyDescent="0.3">
      <c r="A697" s="44">
        <v>42564.928523159724</v>
      </c>
      <c r="B697" s="45" t="s">
        <v>49</v>
      </c>
      <c r="C697" s="45">
        <v>13</v>
      </c>
      <c r="D697" s="47">
        <f>VLOOKUP(Добавить18[[#This Row],[Товар]],Итоговая!$G$1:$H$14,2,0)*Добавить18[[#This Row],[количество_единиц_товара]]</f>
        <v>40300</v>
      </c>
      <c r="E697" s="45" t="s">
        <v>81</v>
      </c>
      <c r="F697" s="45" t="s">
        <v>96</v>
      </c>
    </row>
    <row r="698" spans="1:6" x14ac:dyDescent="0.3">
      <c r="A698" s="44">
        <v>42575.02342287037</v>
      </c>
      <c r="B698" s="45" t="s">
        <v>50</v>
      </c>
      <c r="C698" s="45">
        <v>35</v>
      </c>
      <c r="D698" s="47">
        <f>VLOOKUP(Добавить18[[#This Row],[Товар]],Итоговая!$G$1:$H$14,2,0)*Добавить18[[#This Row],[количество_единиц_товара]]</f>
        <v>77000</v>
      </c>
      <c r="E698" s="45" t="s">
        <v>79</v>
      </c>
      <c r="F698" s="45" t="s">
        <v>96</v>
      </c>
    </row>
    <row r="699" spans="1:6" x14ac:dyDescent="0.3">
      <c r="A699" s="44">
        <v>42576.771311585646</v>
      </c>
      <c r="B699" s="45" t="s">
        <v>52</v>
      </c>
      <c r="C699" s="45">
        <v>27</v>
      </c>
      <c r="D699" s="47">
        <f>VLOOKUP(Добавить18[[#This Row],[Товар]],Итоговая!$G$1:$H$14,2,0)*Добавить18[[#This Row],[количество_единиц_товара]]</f>
        <v>18360</v>
      </c>
      <c r="E699" s="45" t="s">
        <v>79</v>
      </c>
      <c r="F699" s="45" t="s">
        <v>96</v>
      </c>
    </row>
    <row r="700" spans="1:6" x14ac:dyDescent="0.3">
      <c r="A700" s="44">
        <v>42589.100414409724</v>
      </c>
      <c r="B700" s="45" t="s">
        <v>50</v>
      </c>
      <c r="C700" s="45">
        <v>13</v>
      </c>
      <c r="D700" s="47">
        <f>VLOOKUP(Добавить18[[#This Row],[Товар]],Итоговая!$G$1:$H$14,2,0)*Добавить18[[#This Row],[количество_единиц_товара]]</f>
        <v>28600</v>
      </c>
      <c r="E700" s="45" t="s">
        <v>80</v>
      </c>
      <c r="F700" s="45" t="s">
        <v>96</v>
      </c>
    </row>
    <row r="701" spans="1:6" x14ac:dyDescent="0.3">
      <c r="A701" s="44">
        <v>42597.859934733795</v>
      </c>
      <c r="B701" s="45" t="s">
        <v>49</v>
      </c>
      <c r="C701" s="45">
        <v>13</v>
      </c>
      <c r="D701" s="47">
        <f>VLOOKUP(Добавить18[[#This Row],[Товар]],Итоговая!$G$1:$H$14,2,0)*Добавить18[[#This Row],[количество_единиц_товара]]</f>
        <v>40300</v>
      </c>
      <c r="E701" s="45" t="s">
        <v>81</v>
      </c>
      <c r="F701" s="45" t="s">
        <v>96</v>
      </c>
    </row>
    <row r="702" spans="1:6" x14ac:dyDescent="0.3">
      <c r="A702" s="44">
        <v>42601.460974456022</v>
      </c>
      <c r="B702" s="45" t="s">
        <v>60</v>
      </c>
      <c r="C702" s="45">
        <v>36</v>
      </c>
      <c r="D702" s="47">
        <f>VLOOKUP(Добавить18[[#This Row],[Товар]],Итоговая!$G$1:$H$14,2,0)*Добавить18[[#This Row],[количество_единиц_товара]]</f>
        <v>208404</v>
      </c>
      <c r="E702" s="45" t="s">
        <v>81</v>
      </c>
      <c r="F702" s="45" t="s">
        <v>96</v>
      </c>
    </row>
    <row r="703" spans="1:6" x14ac:dyDescent="0.3">
      <c r="A703" s="44">
        <v>42607.014577615744</v>
      </c>
      <c r="B703" s="45" t="s">
        <v>54</v>
      </c>
      <c r="C703" s="45">
        <v>21</v>
      </c>
      <c r="D703" s="47">
        <f>VLOOKUP(Добавить18[[#This Row],[Товар]],Итоговая!$G$1:$H$14,2,0)*Добавить18[[#This Row],[количество_единиц_товара]]</f>
        <v>51450</v>
      </c>
      <c r="E703" s="45" t="s">
        <v>79</v>
      </c>
      <c r="F703" s="45" t="s">
        <v>96</v>
      </c>
    </row>
    <row r="704" spans="1:6" x14ac:dyDescent="0.3">
      <c r="A704" s="44">
        <v>42618.395399525463</v>
      </c>
      <c r="B704" s="45" t="s">
        <v>59</v>
      </c>
      <c r="C704" s="45">
        <v>20</v>
      </c>
      <c r="D704" s="47">
        <f>VLOOKUP(Добавить18[[#This Row],[Товар]],Итоговая!$G$1:$H$14,2,0)*Добавить18[[#This Row],[количество_единиц_товара]]</f>
        <v>40000</v>
      </c>
      <c r="E704" s="45" t="s">
        <v>79</v>
      </c>
      <c r="F704" s="45" t="s">
        <v>96</v>
      </c>
    </row>
    <row r="705" spans="1:6" x14ac:dyDescent="0.3">
      <c r="A705" s="44">
        <v>42639.924336898148</v>
      </c>
      <c r="B705" s="45" t="s">
        <v>61</v>
      </c>
      <c r="C705" s="45">
        <v>32</v>
      </c>
      <c r="D705" s="47">
        <f>VLOOKUP(Добавить18[[#This Row],[Товар]],Итоговая!$G$1:$H$14,2,0)*Добавить18[[#This Row],[количество_единиц_товара]]</f>
        <v>111040</v>
      </c>
      <c r="E705" s="45" t="s">
        <v>80</v>
      </c>
      <c r="F705" s="45" t="s">
        <v>96</v>
      </c>
    </row>
    <row r="706" spans="1:6" x14ac:dyDescent="0.3">
      <c r="A706" s="44">
        <v>42658.777932060184</v>
      </c>
      <c r="B706" s="45" t="s">
        <v>59</v>
      </c>
      <c r="C706" s="45">
        <v>35</v>
      </c>
      <c r="D706" s="47">
        <f>VLOOKUP(Добавить18[[#This Row],[Товар]],Итоговая!$G$1:$H$14,2,0)*Добавить18[[#This Row],[количество_единиц_товара]]</f>
        <v>70000</v>
      </c>
      <c r="E706" s="45" t="s">
        <v>81</v>
      </c>
      <c r="F706" s="45" t="s">
        <v>96</v>
      </c>
    </row>
    <row r="707" spans="1:6" x14ac:dyDescent="0.3">
      <c r="A707" s="44">
        <v>42659.164022002318</v>
      </c>
      <c r="B707" s="45" t="s">
        <v>51</v>
      </c>
      <c r="C707" s="45">
        <v>33</v>
      </c>
      <c r="D707" s="47">
        <f>VLOOKUP(Добавить18[[#This Row],[Товар]],Итоговая!$G$1:$H$14,2,0)*Добавить18[[#This Row],[количество_единиц_товара]]</f>
        <v>84480</v>
      </c>
      <c r="E707" s="45" t="s">
        <v>80</v>
      </c>
      <c r="F707" s="45" t="s">
        <v>96</v>
      </c>
    </row>
    <row r="708" spans="1:6" x14ac:dyDescent="0.3">
      <c r="A708" s="44">
        <v>42665.665978541663</v>
      </c>
      <c r="B708" s="45" t="s">
        <v>61</v>
      </c>
      <c r="C708" s="45">
        <v>29</v>
      </c>
      <c r="D708" s="47">
        <f>VLOOKUP(Добавить18[[#This Row],[Товар]],Итоговая!$G$1:$H$14,2,0)*Добавить18[[#This Row],[количество_единиц_товара]]</f>
        <v>100630</v>
      </c>
      <c r="E708" s="45" t="s">
        <v>80</v>
      </c>
      <c r="F708" s="45" t="s">
        <v>96</v>
      </c>
    </row>
    <row r="709" spans="1:6" x14ac:dyDescent="0.3">
      <c r="A709" s="44">
        <v>42667.670889976849</v>
      </c>
      <c r="B709" s="45" t="s">
        <v>52</v>
      </c>
      <c r="C709" s="45">
        <v>29</v>
      </c>
      <c r="D709" s="47">
        <f>VLOOKUP(Добавить18[[#This Row],[Товар]],Итоговая!$G$1:$H$14,2,0)*Добавить18[[#This Row],[количество_единиц_товара]]</f>
        <v>19720</v>
      </c>
      <c r="E709" s="45" t="s">
        <v>79</v>
      </c>
      <c r="F709" s="45" t="s">
        <v>96</v>
      </c>
    </row>
    <row r="710" spans="1:6" x14ac:dyDescent="0.3">
      <c r="A710" s="44">
        <v>42678.821887395832</v>
      </c>
      <c r="B710" s="45" t="s">
        <v>54</v>
      </c>
      <c r="C710" s="45">
        <v>14</v>
      </c>
      <c r="D710" s="47">
        <f>VLOOKUP(Добавить18[[#This Row],[Товар]],Итоговая!$G$1:$H$14,2,0)*Добавить18[[#This Row],[количество_единиц_товара]]</f>
        <v>34300</v>
      </c>
      <c r="E710" s="45" t="s">
        <v>81</v>
      </c>
      <c r="F710" s="45" t="s">
        <v>96</v>
      </c>
    </row>
    <row r="711" spans="1:6" x14ac:dyDescent="0.3">
      <c r="A711" s="44">
        <v>42685.015121192133</v>
      </c>
      <c r="B711" s="45" t="s">
        <v>59</v>
      </c>
      <c r="C711" s="45">
        <v>18</v>
      </c>
      <c r="D711" s="47">
        <f>VLOOKUP(Добавить18[[#This Row],[Товар]],Итоговая!$G$1:$H$14,2,0)*Добавить18[[#This Row],[количество_единиц_товара]]</f>
        <v>36000</v>
      </c>
      <c r="E711" s="45" t="s">
        <v>81</v>
      </c>
      <c r="F711" s="45" t="s">
        <v>96</v>
      </c>
    </row>
    <row r="712" spans="1:6" x14ac:dyDescent="0.3">
      <c r="A712" s="44">
        <v>42687.90912261574</v>
      </c>
      <c r="B712" s="45" t="s">
        <v>60</v>
      </c>
      <c r="C712" s="45">
        <v>14</v>
      </c>
      <c r="D712" s="47">
        <f>VLOOKUP(Добавить18[[#This Row],[Товар]],Итоговая!$G$1:$H$14,2,0)*Добавить18[[#This Row],[количество_единиц_товара]]</f>
        <v>81046</v>
      </c>
      <c r="E712" s="45" t="s">
        <v>81</v>
      </c>
      <c r="F712" s="45" t="s">
        <v>96</v>
      </c>
    </row>
    <row r="713" spans="1:6" x14ac:dyDescent="0.3">
      <c r="A713" s="44">
        <v>42692.113188333336</v>
      </c>
      <c r="B713" s="45" t="s">
        <v>51</v>
      </c>
      <c r="C713" s="45">
        <v>11</v>
      </c>
      <c r="D713" s="47">
        <f>VLOOKUP(Добавить18[[#This Row],[Товар]],Итоговая!$G$1:$H$14,2,0)*Добавить18[[#This Row],[количество_единиц_товара]]</f>
        <v>28160</v>
      </c>
      <c r="E713" s="45" t="s">
        <v>81</v>
      </c>
      <c r="F713" s="45" t="s">
        <v>96</v>
      </c>
    </row>
    <row r="714" spans="1:6" x14ac:dyDescent="0.3">
      <c r="A714" s="44">
        <v>42716.816704606485</v>
      </c>
      <c r="B714" s="45" t="s">
        <v>51</v>
      </c>
      <c r="C714" s="45">
        <v>26</v>
      </c>
      <c r="D714" s="47">
        <f>VLOOKUP(Добавить18[[#This Row],[Товар]],Итоговая!$G$1:$H$14,2,0)*Добавить18[[#This Row],[количество_единиц_товара]]</f>
        <v>66560</v>
      </c>
      <c r="E714" s="45" t="s">
        <v>81</v>
      </c>
      <c r="F714" s="45" t="s">
        <v>96</v>
      </c>
    </row>
    <row r="715" spans="1:6" x14ac:dyDescent="0.3">
      <c r="A715" s="44">
        <v>42718.366106365742</v>
      </c>
      <c r="B715" s="45" t="s">
        <v>53</v>
      </c>
      <c r="C715" s="45">
        <v>21</v>
      </c>
      <c r="D715" s="47">
        <f>VLOOKUP(Добавить18[[#This Row],[Товар]],Итоговая!$G$1:$H$14,2,0)*Добавить18[[#This Row],[количество_единиц_товара]]</f>
        <v>37548</v>
      </c>
      <c r="E715" s="45" t="s">
        <v>79</v>
      </c>
      <c r="F715" s="45" t="s">
        <v>96</v>
      </c>
    </row>
    <row r="716" spans="1:6" x14ac:dyDescent="0.3">
      <c r="A716" s="44">
        <v>42736.95819020833</v>
      </c>
      <c r="B716" s="45" t="s">
        <v>49</v>
      </c>
      <c r="C716" s="45">
        <v>24</v>
      </c>
      <c r="D716" s="47">
        <f>VLOOKUP(Добавить18[[#This Row],[Товар]],Итоговая!$G$1:$H$14,2,0)*Добавить18[[#This Row],[количество_единиц_товара]]</f>
        <v>74400</v>
      </c>
      <c r="E716" s="45" t="s">
        <v>79</v>
      </c>
      <c r="F716" s="45" t="s">
        <v>96</v>
      </c>
    </row>
    <row r="717" spans="1:6" x14ac:dyDescent="0.3">
      <c r="A717" s="44">
        <v>42743.493907488424</v>
      </c>
      <c r="B717" s="45" t="s">
        <v>51</v>
      </c>
      <c r="C717" s="45">
        <v>19</v>
      </c>
      <c r="D717" s="47">
        <f>VLOOKUP(Добавить18[[#This Row],[Товар]],Итоговая!$G$1:$H$14,2,0)*Добавить18[[#This Row],[количество_единиц_товара]]</f>
        <v>48640</v>
      </c>
      <c r="E717" s="45" t="s">
        <v>79</v>
      </c>
      <c r="F717" s="45" t="s">
        <v>96</v>
      </c>
    </row>
    <row r="718" spans="1:6" x14ac:dyDescent="0.3">
      <c r="A718" s="44">
        <v>42763.087618217593</v>
      </c>
      <c r="B718" s="45" t="s">
        <v>54</v>
      </c>
      <c r="C718" s="45">
        <v>36</v>
      </c>
      <c r="D718" s="47">
        <f>VLOOKUP(Добавить18[[#This Row],[Товар]],Итоговая!$G$1:$H$14,2,0)*Добавить18[[#This Row],[количество_единиц_товара]]</f>
        <v>88200</v>
      </c>
      <c r="E718" s="45" t="s">
        <v>80</v>
      </c>
      <c r="F718" s="45" t="s">
        <v>96</v>
      </c>
    </row>
    <row r="719" spans="1:6" x14ac:dyDescent="0.3">
      <c r="A719" s="44">
        <v>42766.874845914354</v>
      </c>
      <c r="B719" s="45" t="s">
        <v>61</v>
      </c>
      <c r="C719" s="45">
        <v>28</v>
      </c>
      <c r="D719" s="47">
        <f>VLOOKUP(Добавить18[[#This Row],[Товар]],Итоговая!$G$1:$H$14,2,0)*Добавить18[[#This Row],[количество_единиц_товара]]</f>
        <v>97160</v>
      </c>
      <c r="E719" s="45" t="s">
        <v>81</v>
      </c>
      <c r="F719" s="45" t="s">
        <v>96</v>
      </c>
    </row>
    <row r="720" spans="1:6" x14ac:dyDescent="0.3">
      <c r="A720" s="44">
        <v>42777.036817372682</v>
      </c>
      <c r="B720" s="45" t="s">
        <v>52</v>
      </c>
      <c r="C720" s="45">
        <v>40</v>
      </c>
      <c r="D720" s="47">
        <f>VLOOKUP(Добавить18[[#This Row],[Товар]],Итоговая!$G$1:$H$14,2,0)*Добавить18[[#This Row],[количество_единиц_товара]]</f>
        <v>27200</v>
      </c>
      <c r="E720" s="45" t="s">
        <v>79</v>
      </c>
      <c r="F720" s="45" t="s">
        <v>96</v>
      </c>
    </row>
    <row r="721" spans="1:6" x14ac:dyDescent="0.3">
      <c r="A721" s="44">
        <v>42778.891987430557</v>
      </c>
      <c r="B721" s="45" t="s">
        <v>52</v>
      </c>
      <c r="C721" s="45">
        <v>22</v>
      </c>
      <c r="D721" s="47">
        <f>VLOOKUP(Добавить18[[#This Row],[Товар]],Итоговая!$G$1:$H$14,2,0)*Добавить18[[#This Row],[количество_единиц_товара]]</f>
        <v>14960</v>
      </c>
      <c r="E721" s="45" t="s">
        <v>79</v>
      </c>
      <c r="F721" s="45" t="s">
        <v>96</v>
      </c>
    </row>
    <row r="722" spans="1:6" x14ac:dyDescent="0.3">
      <c r="A722" s="44">
        <v>42782.312624872684</v>
      </c>
      <c r="B722" s="45" t="s">
        <v>56</v>
      </c>
      <c r="C722" s="45">
        <v>12</v>
      </c>
      <c r="D722" s="47">
        <f>VLOOKUP(Добавить18[[#This Row],[Товар]],Итоговая!$G$1:$H$14,2,0)*Добавить18[[#This Row],[количество_единиц_товара]]</f>
        <v>19200</v>
      </c>
      <c r="E722" s="45" t="s">
        <v>79</v>
      </c>
      <c r="F722" s="45" t="s">
        <v>96</v>
      </c>
    </row>
    <row r="723" spans="1:6" x14ac:dyDescent="0.3">
      <c r="A723" s="44">
        <v>42786.300466990739</v>
      </c>
      <c r="B723" s="45" t="s">
        <v>57</v>
      </c>
      <c r="C723" s="45">
        <v>21</v>
      </c>
      <c r="D723" s="47">
        <f>VLOOKUP(Добавить18[[#This Row],[Товар]],Итоговая!$G$1:$H$14,2,0)*Добавить18[[#This Row],[количество_единиц_товара]]</f>
        <v>79716</v>
      </c>
      <c r="E723" s="45" t="s">
        <v>81</v>
      </c>
      <c r="F723" s="45" t="s">
        <v>96</v>
      </c>
    </row>
    <row r="724" spans="1:6" x14ac:dyDescent="0.3">
      <c r="A724" s="44">
        <v>42793.627321319444</v>
      </c>
      <c r="B724" s="45" t="s">
        <v>52</v>
      </c>
      <c r="C724" s="45">
        <v>24</v>
      </c>
      <c r="D724" s="47">
        <f>VLOOKUP(Добавить18[[#This Row],[Товар]],Итоговая!$G$1:$H$14,2,0)*Добавить18[[#This Row],[количество_единиц_товара]]</f>
        <v>16320</v>
      </c>
      <c r="E724" s="45" t="s">
        <v>80</v>
      </c>
      <c r="F724" s="45" t="s">
        <v>96</v>
      </c>
    </row>
    <row r="725" spans="1:6" x14ac:dyDescent="0.3">
      <c r="A725" s="44">
        <v>42796.259298124998</v>
      </c>
      <c r="B725" s="45" t="s">
        <v>51</v>
      </c>
      <c r="C725" s="45">
        <v>24</v>
      </c>
      <c r="D725" s="47">
        <f>VLOOKUP(Добавить18[[#This Row],[Товар]],Итоговая!$G$1:$H$14,2,0)*Добавить18[[#This Row],[количество_единиц_товара]]</f>
        <v>61440</v>
      </c>
      <c r="E725" s="45" t="s">
        <v>80</v>
      </c>
      <c r="F725" s="45" t="s">
        <v>96</v>
      </c>
    </row>
    <row r="726" spans="1:6" x14ac:dyDescent="0.3">
      <c r="A726" s="44">
        <v>42807.75578136574</v>
      </c>
      <c r="B726" s="45" t="s">
        <v>51</v>
      </c>
      <c r="C726" s="45">
        <v>34</v>
      </c>
      <c r="D726" s="47">
        <f>VLOOKUP(Добавить18[[#This Row],[Товар]],Итоговая!$G$1:$H$14,2,0)*Добавить18[[#This Row],[количество_единиц_товара]]</f>
        <v>87040</v>
      </c>
      <c r="E726" s="45" t="s">
        <v>81</v>
      </c>
      <c r="F726" s="45" t="s">
        <v>96</v>
      </c>
    </row>
    <row r="727" spans="1:6" x14ac:dyDescent="0.3">
      <c r="A727" s="44">
        <v>42811.089709178239</v>
      </c>
      <c r="B727" s="45" t="s">
        <v>59</v>
      </c>
      <c r="C727" s="45">
        <v>40</v>
      </c>
      <c r="D727" s="47">
        <f>VLOOKUP(Добавить18[[#This Row],[Товар]],Итоговая!$G$1:$H$14,2,0)*Добавить18[[#This Row],[количество_единиц_товара]]</f>
        <v>80000</v>
      </c>
      <c r="E727" s="45" t="s">
        <v>79</v>
      </c>
      <c r="F727" s="45" t="s">
        <v>96</v>
      </c>
    </row>
    <row r="728" spans="1:6" x14ac:dyDescent="0.3">
      <c r="A728" s="44">
        <v>42823.964082905091</v>
      </c>
      <c r="B728" s="45" t="s">
        <v>59</v>
      </c>
      <c r="C728" s="45">
        <v>14</v>
      </c>
      <c r="D728" s="47">
        <f>VLOOKUP(Добавить18[[#This Row],[Товар]],Итоговая!$G$1:$H$14,2,0)*Добавить18[[#This Row],[количество_единиц_товара]]</f>
        <v>28000</v>
      </c>
      <c r="E728" s="45" t="s">
        <v>81</v>
      </c>
      <c r="F728" s="45" t="s">
        <v>96</v>
      </c>
    </row>
    <row r="729" spans="1:6" x14ac:dyDescent="0.3">
      <c r="A729" s="44">
        <v>42838.10443068287</v>
      </c>
      <c r="B729" s="45" t="s">
        <v>59</v>
      </c>
      <c r="C729" s="45">
        <v>31</v>
      </c>
      <c r="D729" s="47">
        <f>VLOOKUP(Добавить18[[#This Row],[Товар]],Итоговая!$G$1:$H$14,2,0)*Добавить18[[#This Row],[количество_единиц_товара]]</f>
        <v>62000</v>
      </c>
      <c r="E729" s="45" t="s">
        <v>80</v>
      </c>
      <c r="F729" s="45" t="s">
        <v>96</v>
      </c>
    </row>
    <row r="730" spans="1:6" x14ac:dyDescent="0.3">
      <c r="A730" s="44">
        <v>42838.791273206021</v>
      </c>
      <c r="B730" s="45" t="s">
        <v>51</v>
      </c>
      <c r="C730" s="45">
        <v>21</v>
      </c>
      <c r="D730" s="47">
        <f>VLOOKUP(Добавить18[[#This Row],[Товар]],Итоговая!$G$1:$H$14,2,0)*Добавить18[[#This Row],[количество_единиц_товара]]</f>
        <v>53760</v>
      </c>
      <c r="E730" s="45" t="s">
        <v>79</v>
      </c>
      <c r="F730" s="45" t="s">
        <v>96</v>
      </c>
    </row>
    <row r="731" spans="1:6" x14ac:dyDescent="0.3">
      <c r="A731" s="44">
        <v>42840.773482407407</v>
      </c>
      <c r="B731" s="45" t="s">
        <v>59</v>
      </c>
      <c r="C731" s="45">
        <v>23</v>
      </c>
      <c r="D731" s="47">
        <f>VLOOKUP(Добавить18[[#This Row],[Товар]],Итоговая!$G$1:$H$14,2,0)*Добавить18[[#This Row],[количество_единиц_товара]]</f>
        <v>46000</v>
      </c>
      <c r="E731" s="45" t="s">
        <v>80</v>
      </c>
      <c r="F731" s="45" t="s">
        <v>96</v>
      </c>
    </row>
    <row r="732" spans="1:6" x14ac:dyDescent="0.3">
      <c r="A732" s="44">
        <v>42850.476000752315</v>
      </c>
      <c r="B732" s="45" t="s">
        <v>49</v>
      </c>
      <c r="C732" s="45">
        <v>37</v>
      </c>
      <c r="D732" s="47">
        <f>VLOOKUP(Добавить18[[#This Row],[Товар]],Итоговая!$G$1:$H$14,2,0)*Добавить18[[#This Row],[количество_единиц_товара]]</f>
        <v>114700</v>
      </c>
      <c r="E732" s="45" t="s">
        <v>79</v>
      </c>
      <c r="F732" s="45" t="s">
        <v>96</v>
      </c>
    </row>
    <row r="733" spans="1:6" x14ac:dyDescent="0.3">
      <c r="A733" s="44">
        <v>42852.341392037037</v>
      </c>
      <c r="B733" s="45" t="s">
        <v>52</v>
      </c>
      <c r="C733" s="45">
        <v>24</v>
      </c>
      <c r="D733" s="47">
        <f>VLOOKUP(Добавить18[[#This Row],[Товар]],Итоговая!$G$1:$H$14,2,0)*Добавить18[[#This Row],[количество_единиц_товара]]</f>
        <v>16320</v>
      </c>
      <c r="E733" s="45" t="s">
        <v>81</v>
      </c>
      <c r="F733" s="45" t="s">
        <v>96</v>
      </c>
    </row>
    <row r="734" spans="1:6" x14ac:dyDescent="0.3">
      <c r="A734" s="44">
        <v>42869.691286064815</v>
      </c>
      <c r="B734" s="45" t="s">
        <v>57</v>
      </c>
      <c r="C734" s="45">
        <v>20</v>
      </c>
      <c r="D734" s="47">
        <f>VLOOKUP(Добавить18[[#This Row],[Товар]],Итоговая!$G$1:$H$14,2,0)*Добавить18[[#This Row],[количество_единиц_товара]]</f>
        <v>75920</v>
      </c>
      <c r="E734" s="45" t="s">
        <v>79</v>
      </c>
      <c r="F734" s="45" t="s">
        <v>96</v>
      </c>
    </row>
    <row r="735" spans="1:6" x14ac:dyDescent="0.3">
      <c r="A735" s="44">
        <v>42892.095977777775</v>
      </c>
      <c r="B735" s="45" t="s">
        <v>51</v>
      </c>
      <c r="C735" s="45">
        <v>20</v>
      </c>
      <c r="D735" s="47">
        <f>VLOOKUP(Добавить18[[#This Row],[Товар]],Итоговая!$G$1:$H$14,2,0)*Добавить18[[#This Row],[количество_единиц_товара]]</f>
        <v>51200</v>
      </c>
      <c r="E735" s="45" t="s">
        <v>80</v>
      </c>
      <c r="F735" s="45" t="s">
        <v>96</v>
      </c>
    </row>
    <row r="736" spans="1:6" x14ac:dyDescent="0.3">
      <c r="A736" s="44">
        <v>42899.278695451387</v>
      </c>
      <c r="B736" s="45" t="s">
        <v>58</v>
      </c>
      <c r="C736" s="45">
        <v>18</v>
      </c>
      <c r="D736" s="47">
        <f>VLOOKUP(Добавить18[[#This Row],[Товар]],Итоговая!$G$1:$H$14,2,0)*Добавить18[[#This Row],[количество_единиц_товара]]</f>
        <v>80190</v>
      </c>
      <c r="E736" s="45" t="s">
        <v>81</v>
      </c>
      <c r="F736" s="45" t="s">
        <v>96</v>
      </c>
    </row>
    <row r="737" spans="1:6" x14ac:dyDescent="0.3">
      <c r="A737" s="44">
        <v>42902.497117557868</v>
      </c>
      <c r="B737" s="45" t="s">
        <v>50</v>
      </c>
      <c r="C737" s="45">
        <v>38</v>
      </c>
      <c r="D737" s="47">
        <f>VLOOKUP(Добавить18[[#This Row],[Товар]],Итоговая!$G$1:$H$14,2,0)*Добавить18[[#This Row],[количество_единиц_товара]]</f>
        <v>83600</v>
      </c>
      <c r="E737" s="45" t="s">
        <v>80</v>
      </c>
      <c r="F737" s="45" t="s">
        <v>96</v>
      </c>
    </row>
    <row r="738" spans="1:6" x14ac:dyDescent="0.3">
      <c r="A738" s="44">
        <v>42906.03043071759</v>
      </c>
      <c r="B738" s="45" t="s">
        <v>54</v>
      </c>
      <c r="C738" s="45">
        <v>34</v>
      </c>
      <c r="D738" s="47">
        <f>VLOOKUP(Добавить18[[#This Row],[Товар]],Итоговая!$G$1:$H$14,2,0)*Добавить18[[#This Row],[количество_единиц_товара]]</f>
        <v>83300</v>
      </c>
      <c r="E738" s="45" t="s">
        <v>79</v>
      </c>
      <c r="F738" s="45" t="s">
        <v>96</v>
      </c>
    </row>
    <row r="739" spans="1:6" x14ac:dyDescent="0.3">
      <c r="A739" s="44">
        <v>42911.016017407404</v>
      </c>
      <c r="B739" s="45" t="s">
        <v>51</v>
      </c>
      <c r="C739" s="45">
        <v>34</v>
      </c>
      <c r="D739" s="47">
        <f>VLOOKUP(Добавить18[[#This Row],[Товар]],Итоговая!$G$1:$H$14,2,0)*Добавить18[[#This Row],[количество_единиц_товара]]</f>
        <v>87040</v>
      </c>
      <c r="E739" s="45" t="s">
        <v>80</v>
      </c>
      <c r="F739" s="45" t="s">
        <v>96</v>
      </c>
    </row>
    <row r="740" spans="1:6" x14ac:dyDescent="0.3">
      <c r="A740" s="44">
        <v>42932.511253969904</v>
      </c>
      <c r="B740" s="45" t="s">
        <v>59</v>
      </c>
      <c r="C740" s="45">
        <v>38</v>
      </c>
      <c r="D740" s="47">
        <f>VLOOKUP(Добавить18[[#This Row],[Товар]],Итоговая!$G$1:$H$14,2,0)*Добавить18[[#This Row],[количество_единиц_товара]]</f>
        <v>76000</v>
      </c>
      <c r="E740" s="45" t="s">
        <v>81</v>
      </c>
      <c r="F740" s="45" t="s">
        <v>96</v>
      </c>
    </row>
    <row r="741" spans="1:6" x14ac:dyDescent="0.3">
      <c r="A741" s="44">
        <v>42958.116787881947</v>
      </c>
      <c r="B741" s="45" t="s">
        <v>52</v>
      </c>
      <c r="C741" s="45">
        <v>37</v>
      </c>
      <c r="D741" s="47">
        <f>VLOOKUP(Добавить18[[#This Row],[Товар]],Итоговая!$G$1:$H$14,2,0)*Добавить18[[#This Row],[количество_единиц_товара]]</f>
        <v>25160</v>
      </c>
      <c r="E741" s="45" t="s">
        <v>80</v>
      </c>
      <c r="F741" s="45" t="s">
        <v>96</v>
      </c>
    </row>
    <row r="742" spans="1:6" x14ac:dyDescent="0.3">
      <c r="A742" s="44">
        <v>42966.021986874999</v>
      </c>
      <c r="B742" s="45" t="s">
        <v>54</v>
      </c>
      <c r="C742" s="45">
        <v>24</v>
      </c>
      <c r="D742" s="47">
        <f>VLOOKUP(Добавить18[[#This Row],[Товар]],Итоговая!$G$1:$H$14,2,0)*Добавить18[[#This Row],[количество_единиц_товара]]</f>
        <v>58800</v>
      </c>
      <c r="E742" s="45" t="s">
        <v>81</v>
      </c>
      <c r="F742" s="45" t="s">
        <v>96</v>
      </c>
    </row>
    <row r="743" spans="1:6" x14ac:dyDescent="0.3">
      <c r="A743" s="44">
        <v>42994.800435787038</v>
      </c>
      <c r="B743" s="45" t="s">
        <v>53</v>
      </c>
      <c r="C743" s="45">
        <v>23</v>
      </c>
      <c r="D743" s="47">
        <f>VLOOKUP(Добавить18[[#This Row],[Товар]],Итоговая!$G$1:$H$14,2,0)*Добавить18[[#This Row],[количество_единиц_товара]]</f>
        <v>41124</v>
      </c>
      <c r="E743" s="45" t="s">
        <v>81</v>
      </c>
      <c r="F743" s="45" t="s">
        <v>96</v>
      </c>
    </row>
    <row r="744" spans="1:6" x14ac:dyDescent="0.3">
      <c r="A744" s="44">
        <v>43000.015154305554</v>
      </c>
      <c r="B744" s="45" t="s">
        <v>59</v>
      </c>
      <c r="C744" s="45">
        <v>15</v>
      </c>
      <c r="D744" s="47">
        <f>VLOOKUP(Добавить18[[#This Row],[Товар]],Итоговая!$G$1:$H$14,2,0)*Добавить18[[#This Row],[количество_единиц_товара]]</f>
        <v>30000</v>
      </c>
      <c r="E744" s="45" t="s">
        <v>79</v>
      </c>
      <c r="F744" s="45" t="s">
        <v>96</v>
      </c>
    </row>
    <row r="745" spans="1:6" x14ac:dyDescent="0.3">
      <c r="A745" s="44">
        <v>43004.845839305555</v>
      </c>
      <c r="B745" s="45" t="s">
        <v>52</v>
      </c>
      <c r="C745" s="45">
        <v>26</v>
      </c>
      <c r="D745" s="47">
        <f>VLOOKUP(Добавить18[[#This Row],[Товар]],Итоговая!$G$1:$H$14,2,0)*Добавить18[[#This Row],[количество_единиц_товара]]</f>
        <v>17680</v>
      </c>
      <c r="E745" s="45" t="s">
        <v>79</v>
      </c>
      <c r="F745" s="45" t="s">
        <v>96</v>
      </c>
    </row>
    <row r="746" spans="1:6" x14ac:dyDescent="0.3">
      <c r="A746" s="44">
        <v>43008.059360624997</v>
      </c>
      <c r="B746" s="45" t="s">
        <v>52</v>
      </c>
      <c r="C746" s="45">
        <v>21</v>
      </c>
      <c r="D746" s="47">
        <f>VLOOKUP(Добавить18[[#This Row],[Товар]],Итоговая!$G$1:$H$14,2,0)*Добавить18[[#This Row],[количество_единиц_товара]]</f>
        <v>14280</v>
      </c>
      <c r="E746" s="45" t="s">
        <v>81</v>
      </c>
      <c r="F746" s="45" t="s">
        <v>96</v>
      </c>
    </row>
    <row r="747" spans="1:6" x14ac:dyDescent="0.3">
      <c r="A747" s="44">
        <v>43012.590469814815</v>
      </c>
      <c r="B747" s="45" t="s">
        <v>51</v>
      </c>
      <c r="C747" s="45">
        <v>23</v>
      </c>
      <c r="D747" s="47">
        <f>VLOOKUP(Добавить18[[#This Row],[Товар]],Итоговая!$G$1:$H$14,2,0)*Добавить18[[#This Row],[количество_единиц_товара]]</f>
        <v>58880</v>
      </c>
      <c r="E747" s="45" t="s">
        <v>80</v>
      </c>
      <c r="F747" s="45" t="s">
        <v>96</v>
      </c>
    </row>
    <row r="748" spans="1:6" x14ac:dyDescent="0.3">
      <c r="A748" s="44">
        <v>43024.489909652781</v>
      </c>
      <c r="B748" s="45" t="s">
        <v>52</v>
      </c>
      <c r="C748" s="45">
        <v>14</v>
      </c>
      <c r="D748" s="47">
        <f>VLOOKUP(Добавить18[[#This Row],[Товар]],Итоговая!$G$1:$H$14,2,0)*Добавить18[[#This Row],[количество_единиц_товара]]</f>
        <v>9520</v>
      </c>
      <c r="E748" s="45" t="s">
        <v>79</v>
      </c>
      <c r="F748" s="45" t="s">
        <v>96</v>
      </c>
    </row>
    <row r="749" spans="1:6" x14ac:dyDescent="0.3">
      <c r="A749" s="44">
        <v>43042.082912083337</v>
      </c>
      <c r="B749" s="45" t="s">
        <v>59</v>
      </c>
      <c r="C749" s="45">
        <v>16</v>
      </c>
      <c r="D749" s="47">
        <f>VLOOKUP(Добавить18[[#This Row],[Товар]],Итоговая!$G$1:$H$14,2,0)*Добавить18[[#This Row],[количество_единиц_товара]]</f>
        <v>32000</v>
      </c>
      <c r="E749" s="45" t="s">
        <v>81</v>
      </c>
      <c r="F749" s="45" t="s">
        <v>96</v>
      </c>
    </row>
    <row r="750" spans="1:6" x14ac:dyDescent="0.3">
      <c r="A750" s="44">
        <v>43046.336789814814</v>
      </c>
      <c r="B750" s="45" t="s">
        <v>55</v>
      </c>
      <c r="C750" s="45">
        <v>17</v>
      </c>
      <c r="D750" s="47">
        <f>VLOOKUP(Добавить18[[#This Row],[Товар]],Итоговая!$G$1:$H$14,2,0)*Добавить18[[#This Row],[количество_единиц_товара]]</f>
        <v>76500</v>
      </c>
      <c r="E750" s="45" t="s">
        <v>81</v>
      </c>
      <c r="F750" s="45" t="s">
        <v>96</v>
      </c>
    </row>
    <row r="751" spans="1:6" x14ac:dyDescent="0.3">
      <c r="A751" s="44">
        <v>43061.993744675929</v>
      </c>
      <c r="B751" s="45" t="s">
        <v>58</v>
      </c>
      <c r="C751" s="45">
        <v>26</v>
      </c>
      <c r="D751" s="47">
        <f>VLOOKUP(Добавить18[[#This Row],[Товар]],Итоговая!$G$1:$H$14,2,0)*Добавить18[[#This Row],[количество_единиц_товара]]</f>
        <v>115830</v>
      </c>
      <c r="E751" s="45" t="s">
        <v>81</v>
      </c>
      <c r="F751" s="45" t="s">
        <v>96</v>
      </c>
    </row>
    <row r="752" spans="1:6" x14ac:dyDescent="0.3">
      <c r="A752" s="44">
        <v>43071.809890543984</v>
      </c>
      <c r="B752" s="45" t="s">
        <v>58</v>
      </c>
      <c r="C752" s="45">
        <v>18</v>
      </c>
      <c r="D752" s="47">
        <f>VLOOKUP(Добавить18[[#This Row],[Товар]],Итоговая!$G$1:$H$14,2,0)*Добавить18[[#This Row],[количество_единиц_товара]]</f>
        <v>80190</v>
      </c>
      <c r="E752" s="45" t="s">
        <v>80</v>
      </c>
      <c r="F752" s="45" t="s">
        <v>96</v>
      </c>
    </row>
    <row r="753" spans="1:6" x14ac:dyDescent="0.3">
      <c r="A753" s="44">
        <v>43077.474539814815</v>
      </c>
      <c r="B753" s="45" t="s">
        <v>50</v>
      </c>
      <c r="C753" s="45">
        <v>21</v>
      </c>
      <c r="D753" s="47">
        <f>VLOOKUP(Добавить18[[#This Row],[Товар]],Итоговая!$G$1:$H$14,2,0)*Добавить18[[#This Row],[количество_единиц_товара]]</f>
        <v>46200</v>
      </c>
      <c r="E753" s="45" t="s">
        <v>80</v>
      </c>
      <c r="F753" s="45" t="s">
        <v>96</v>
      </c>
    </row>
    <row r="754" spans="1:6" x14ac:dyDescent="0.3">
      <c r="A754" s="44">
        <v>43082.716963784726</v>
      </c>
      <c r="B754" s="45" t="s">
        <v>55</v>
      </c>
      <c r="C754" s="45">
        <v>38</v>
      </c>
      <c r="D754" s="47">
        <f>VLOOKUP(Добавить18[[#This Row],[Товар]],Итоговая!$G$1:$H$14,2,0)*Добавить18[[#This Row],[количество_единиц_товара]]</f>
        <v>171000</v>
      </c>
      <c r="E754" s="45" t="s">
        <v>81</v>
      </c>
      <c r="F754" s="45" t="s">
        <v>96</v>
      </c>
    </row>
    <row r="755" spans="1:6" x14ac:dyDescent="0.3">
      <c r="A755" s="44">
        <v>43106.9708000463</v>
      </c>
      <c r="B755" s="45" t="s">
        <v>59</v>
      </c>
      <c r="C755" s="45">
        <v>16</v>
      </c>
      <c r="D755" s="47">
        <f>VLOOKUP(Добавить18[[#This Row],[Товар]],Итоговая!$G$1:$H$14,2,0)*Добавить18[[#This Row],[количество_единиц_товара]]</f>
        <v>32000</v>
      </c>
      <c r="E755" s="45" t="s">
        <v>81</v>
      </c>
      <c r="F755" s="45" t="s">
        <v>96</v>
      </c>
    </row>
    <row r="756" spans="1:6" x14ac:dyDescent="0.3">
      <c r="A756" s="44">
        <v>43115.635675034719</v>
      </c>
      <c r="B756" s="45" t="s">
        <v>61</v>
      </c>
      <c r="C756" s="45">
        <v>13</v>
      </c>
      <c r="D756" s="47">
        <f>VLOOKUP(Добавить18[[#This Row],[Товар]],Итоговая!$G$1:$H$14,2,0)*Добавить18[[#This Row],[количество_единиц_товара]]</f>
        <v>45110</v>
      </c>
      <c r="E756" s="45" t="s">
        <v>81</v>
      </c>
      <c r="F756" s="45" t="s">
        <v>96</v>
      </c>
    </row>
    <row r="757" spans="1:6" x14ac:dyDescent="0.3">
      <c r="A757" s="44">
        <v>43121.901756921296</v>
      </c>
      <c r="B757" s="45" t="s">
        <v>50</v>
      </c>
      <c r="C757" s="45">
        <v>17</v>
      </c>
      <c r="D757" s="47">
        <f>VLOOKUP(Добавить18[[#This Row],[Товар]],Итоговая!$G$1:$H$14,2,0)*Добавить18[[#This Row],[количество_единиц_товара]]</f>
        <v>37400</v>
      </c>
      <c r="E757" s="45" t="s">
        <v>79</v>
      </c>
      <c r="F757" s="45" t="s">
        <v>96</v>
      </c>
    </row>
    <row r="758" spans="1:6" x14ac:dyDescent="0.3">
      <c r="A758" s="44">
        <v>43131.191865196757</v>
      </c>
      <c r="B758" s="45" t="s">
        <v>50</v>
      </c>
      <c r="C758" s="45">
        <v>16</v>
      </c>
      <c r="D758" s="47">
        <f>VLOOKUP(Добавить18[[#This Row],[Товар]],Итоговая!$G$1:$H$14,2,0)*Добавить18[[#This Row],[количество_единиц_товара]]</f>
        <v>35200</v>
      </c>
      <c r="E758" s="45" t="s">
        <v>81</v>
      </c>
      <c r="F758" s="45" t="s">
        <v>96</v>
      </c>
    </row>
    <row r="759" spans="1:6" x14ac:dyDescent="0.3">
      <c r="A759" s="44">
        <v>43140.781716967591</v>
      </c>
      <c r="B759" s="45" t="s">
        <v>55</v>
      </c>
      <c r="C759" s="45">
        <v>20</v>
      </c>
      <c r="D759" s="47">
        <f>VLOOKUP(Добавить18[[#This Row],[Товар]],Итоговая!$G$1:$H$14,2,0)*Добавить18[[#This Row],[количество_единиц_товара]]</f>
        <v>90000</v>
      </c>
      <c r="E759" s="45" t="s">
        <v>81</v>
      </c>
      <c r="F759" s="45" t="s">
        <v>96</v>
      </c>
    </row>
    <row r="760" spans="1:6" x14ac:dyDescent="0.3">
      <c r="A760" s="44">
        <v>43151.163110428242</v>
      </c>
      <c r="B760" s="45" t="s">
        <v>61</v>
      </c>
      <c r="C760" s="45">
        <v>37</v>
      </c>
      <c r="D760" s="47">
        <f>VLOOKUP(Добавить18[[#This Row],[Товар]],Итоговая!$G$1:$H$14,2,0)*Добавить18[[#This Row],[количество_единиц_товара]]</f>
        <v>128390</v>
      </c>
      <c r="E760" s="45" t="s">
        <v>79</v>
      </c>
      <c r="F760" s="45" t="s">
        <v>96</v>
      </c>
    </row>
    <row r="761" spans="1:6" x14ac:dyDescent="0.3">
      <c r="A761" s="44">
        <v>43157.73439834491</v>
      </c>
      <c r="B761" s="45" t="s">
        <v>51</v>
      </c>
      <c r="C761" s="45">
        <v>13</v>
      </c>
      <c r="D761" s="47">
        <f>VLOOKUP(Добавить18[[#This Row],[Товар]],Итоговая!$G$1:$H$14,2,0)*Добавить18[[#This Row],[количество_единиц_товара]]</f>
        <v>33280</v>
      </c>
      <c r="E761" s="45" t="s">
        <v>80</v>
      </c>
      <c r="F761" s="45" t="s">
        <v>96</v>
      </c>
    </row>
    <row r="762" spans="1:6" x14ac:dyDescent="0.3">
      <c r="A762" s="44">
        <v>43159.657022581021</v>
      </c>
      <c r="B762" s="45" t="s">
        <v>52</v>
      </c>
      <c r="C762" s="45">
        <v>35</v>
      </c>
      <c r="D762" s="47">
        <f>VLOOKUP(Добавить18[[#This Row],[Товар]],Итоговая!$G$1:$H$14,2,0)*Добавить18[[#This Row],[количество_единиц_товара]]</f>
        <v>23800</v>
      </c>
      <c r="E762" s="45" t="s">
        <v>79</v>
      </c>
      <c r="F762" s="45" t="s">
        <v>96</v>
      </c>
    </row>
    <row r="763" spans="1:6" x14ac:dyDescent="0.3">
      <c r="A763" s="44">
        <v>43170.044306377313</v>
      </c>
      <c r="B763" s="45" t="s">
        <v>54</v>
      </c>
      <c r="C763" s="45">
        <v>27</v>
      </c>
      <c r="D763" s="47">
        <f>VLOOKUP(Добавить18[[#This Row],[Товар]],Итоговая!$G$1:$H$14,2,0)*Добавить18[[#This Row],[количество_единиц_товара]]</f>
        <v>66150</v>
      </c>
      <c r="E763" s="45" t="s">
        <v>79</v>
      </c>
      <c r="F763" s="45" t="s">
        <v>96</v>
      </c>
    </row>
    <row r="764" spans="1:6" x14ac:dyDescent="0.3">
      <c r="A764" s="44">
        <v>43174.466686261578</v>
      </c>
      <c r="B764" s="45" t="s">
        <v>50</v>
      </c>
      <c r="C764" s="45">
        <v>31</v>
      </c>
      <c r="D764" s="47">
        <f>VLOOKUP(Добавить18[[#This Row],[Товар]],Итоговая!$G$1:$H$14,2,0)*Добавить18[[#This Row],[количество_единиц_товара]]</f>
        <v>68200</v>
      </c>
      <c r="E764" s="45" t="s">
        <v>81</v>
      </c>
      <c r="F764" s="45" t="s">
        <v>96</v>
      </c>
    </row>
    <row r="765" spans="1:6" x14ac:dyDescent="0.3">
      <c r="A765" s="44">
        <v>43193.230152384262</v>
      </c>
      <c r="B765" s="45" t="s">
        <v>60</v>
      </c>
      <c r="C765" s="45">
        <v>31</v>
      </c>
      <c r="D765" s="47">
        <f>VLOOKUP(Добавить18[[#This Row],[Товар]],Итоговая!$G$1:$H$14,2,0)*Добавить18[[#This Row],[количество_единиц_товара]]</f>
        <v>179459</v>
      </c>
      <c r="E765" s="45" t="s">
        <v>79</v>
      </c>
      <c r="F765" s="45" t="s">
        <v>96</v>
      </c>
    </row>
    <row r="766" spans="1:6" x14ac:dyDescent="0.3">
      <c r="A766" s="44">
        <v>43207.878666840275</v>
      </c>
      <c r="B766" s="45" t="s">
        <v>59</v>
      </c>
      <c r="C766" s="45">
        <v>25</v>
      </c>
      <c r="D766" s="47">
        <f>VLOOKUP(Добавить18[[#This Row],[Товар]],Итоговая!$G$1:$H$14,2,0)*Добавить18[[#This Row],[количество_единиц_товара]]</f>
        <v>50000</v>
      </c>
      <c r="E766" s="45" t="s">
        <v>81</v>
      </c>
      <c r="F766" s="45" t="s">
        <v>96</v>
      </c>
    </row>
    <row r="767" spans="1:6" x14ac:dyDescent="0.3">
      <c r="A767" s="44">
        <v>43216.517656886572</v>
      </c>
      <c r="B767" s="45" t="s">
        <v>58</v>
      </c>
      <c r="C767" s="45">
        <v>27</v>
      </c>
      <c r="D767" s="47">
        <f>VLOOKUP(Добавить18[[#This Row],[Товар]],Итоговая!$G$1:$H$14,2,0)*Добавить18[[#This Row],[количество_единиц_товара]]</f>
        <v>120285</v>
      </c>
      <c r="E767" s="45" t="s">
        <v>81</v>
      </c>
      <c r="F767" s="45" t="s">
        <v>96</v>
      </c>
    </row>
    <row r="768" spans="1:6" x14ac:dyDescent="0.3">
      <c r="A768" s="44">
        <v>43219.507715613428</v>
      </c>
      <c r="B768" s="45" t="s">
        <v>49</v>
      </c>
      <c r="C768" s="45">
        <v>26</v>
      </c>
      <c r="D768" s="47">
        <f>VLOOKUP(Добавить18[[#This Row],[Товар]],Итоговая!$G$1:$H$14,2,0)*Добавить18[[#This Row],[количество_единиц_товара]]</f>
        <v>80600</v>
      </c>
      <c r="E768" s="45" t="s">
        <v>79</v>
      </c>
      <c r="F768" s="45" t="s">
        <v>96</v>
      </c>
    </row>
    <row r="769" spans="1:6" x14ac:dyDescent="0.3">
      <c r="A769" s="44">
        <v>43223.218091793984</v>
      </c>
      <c r="B769" s="45" t="s">
        <v>59</v>
      </c>
      <c r="C769" s="45">
        <v>34</v>
      </c>
      <c r="D769" s="47">
        <f>VLOOKUP(Добавить18[[#This Row],[Товар]],Итоговая!$G$1:$H$14,2,0)*Добавить18[[#This Row],[количество_единиц_товара]]</f>
        <v>68000</v>
      </c>
      <c r="E769" s="45" t="s">
        <v>81</v>
      </c>
      <c r="F769" s="45" t="s">
        <v>96</v>
      </c>
    </row>
    <row r="770" spans="1:6" x14ac:dyDescent="0.3">
      <c r="A770" s="44">
        <v>43224.842773865741</v>
      </c>
      <c r="B770" s="45" t="s">
        <v>54</v>
      </c>
      <c r="C770" s="45">
        <v>15</v>
      </c>
      <c r="D770" s="47">
        <f>VLOOKUP(Добавить18[[#This Row],[Товар]],Итоговая!$G$1:$H$14,2,0)*Добавить18[[#This Row],[количество_единиц_товара]]</f>
        <v>36750</v>
      </c>
      <c r="E770" s="45" t="s">
        <v>81</v>
      </c>
      <c r="F770" s="45" t="s">
        <v>96</v>
      </c>
    </row>
    <row r="771" spans="1:6" x14ac:dyDescent="0.3">
      <c r="A771" s="44">
        <v>43227.148282916663</v>
      </c>
      <c r="B771" s="45" t="s">
        <v>59</v>
      </c>
      <c r="C771" s="45">
        <v>34</v>
      </c>
      <c r="D771" s="47">
        <f>VLOOKUP(Добавить18[[#This Row],[Товар]],Итоговая!$G$1:$H$14,2,0)*Добавить18[[#This Row],[количество_единиц_товара]]</f>
        <v>68000</v>
      </c>
      <c r="E771" s="45" t="s">
        <v>81</v>
      </c>
      <c r="F771" s="45" t="s">
        <v>96</v>
      </c>
    </row>
    <row r="772" spans="1:6" x14ac:dyDescent="0.3">
      <c r="A772" s="44">
        <v>43254.289023680554</v>
      </c>
      <c r="B772" s="45" t="s">
        <v>59</v>
      </c>
      <c r="C772" s="45">
        <v>19</v>
      </c>
      <c r="D772" s="47">
        <f>VLOOKUP(Добавить18[[#This Row],[Товар]],Итоговая!$G$1:$H$14,2,0)*Добавить18[[#This Row],[количество_единиц_товара]]</f>
        <v>38000</v>
      </c>
      <c r="E772" s="45" t="s">
        <v>80</v>
      </c>
      <c r="F772" s="45" t="s">
        <v>96</v>
      </c>
    </row>
    <row r="773" spans="1:6" x14ac:dyDescent="0.3">
      <c r="A773" s="44">
        <v>43259.141474733799</v>
      </c>
      <c r="B773" s="45" t="s">
        <v>58</v>
      </c>
      <c r="C773" s="45">
        <v>13</v>
      </c>
      <c r="D773" s="47">
        <f>VLOOKUP(Добавить18[[#This Row],[Товар]],Итоговая!$G$1:$H$14,2,0)*Добавить18[[#This Row],[количество_единиц_товара]]</f>
        <v>57915</v>
      </c>
      <c r="E773" s="45" t="s">
        <v>81</v>
      </c>
      <c r="F773" s="45" t="s">
        <v>96</v>
      </c>
    </row>
    <row r="774" spans="1:6" x14ac:dyDescent="0.3">
      <c r="A774" s="44">
        <v>43263.634880185185</v>
      </c>
      <c r="B774" s="45" t="s">
        <v>52</v>
      </c>
      <c r="C774" s="45">
        <v>16</v>
      </c>
      <c r="D774" s="47">
        <f>VLOOKUP(Добавить18[[#This Row],[Товар]],Итоговая!$G$1:$H$14,2,0)*Добавить18[[#This Row],[количество_единиц_товара]]</f>
        <v>10880</v>
      </c>
      <c r="E774" s="45" t="s">
        <v>81</v>
      </c>
      <c r="F774" s="45" t="s">
        <v>96</v>
      </c>
    </row>
    <row r="775" spans="1:6" x14ac:dyDescent="0.3">
      <c r="A775" s="44">
        <v>43270.706770856479</v>
      </c>
      <c r="B775" s="45" t="s">
        <v>56</v>
      </c>
      <c r="C775" s="45">
        <v>21</v>
      </c>
      <c r="D775" s="47">
        <f>VLOOKUP(Добавить18[[#This Row],[Товар]],Итоговая!$G$1:$H$14,2,0)*Добавить18[[#This Row],[количество_единиц_товара]]</f>
        <v>33600</v>
      </c>
      <c r="E775" s="45" t="s">
        <v>80</v>
      </c>
      <c r="F775" s="45" t="s">
        <v>96</v>
      </c>
    </row>
    <row r="776" spans="1:6" x14ac:dyDescent="0.3">
      <c r="A776" s="44">
        <v>43297.203777974537</v>
      </c>
      <c r="B776" s="45" t="s">
        <v>53</v>
      </c>
      <c r="C776" s="45">
        <v>24</v>
      </c>
      <c r="D776" s="47">
        <f>VLOOKUP(Добавить18[[#This Row],[Товар]],Итоговая!$G$1:$H$14,2,0)*Добавить18[[#This Row],[количество_единиц_товара]]</f>
        <v>42912</v>
      </c>
      <c r="E776" s="45" t="s">
        <v>81</v>
      </c>
      <c r="F776" s="45" t="s">
        <v>96</v>
      </c>
    </row>
    <row r="777" spans="1:6" x14ac:dyDescent="0.3">
      <c r="A777" s="44">
        <v>43298.813301134258</v>
      </c>
      <c r="B777" s="45" t="s">
        <v>58</v>
      </c>
      <c r="C777" s="45">
        <v>15</v>
      </c>
      <c r="D777" s="47">
        <f>VLOOKUP(Добавить18[[#This Row],[Товар]],Итоговая!$G$1:$H$14,2,0)*Добавить18[[#This Row],[количество_единиц_товара]]</f>
        <v>66825</v>
      </c>
      <c r="E777" s="45" t="s">
        <v>80</v>
      </c>
      <c r="F777" s="45" t="s">
        <v>96</v>
      </c>
    </row>
    <row r="778" spans="1:6" x14ac:dyDescent="0.3">
      <c r="A778" s="44">
        <v>43303.261885717591</v>
      </c>
      <c r="B778" s="45" t="s">
        <v>55</v>
      </c>
      <c r="C778" s="45">
        <v>39</v>
      </c>
      <c r="D778" s="47">
        <f>VLOOKUP(Добавить18[[#This Row],[Товар]],Итоговая!$G$1:$H$14,2,0)*Добавить18[[#This Row],[количество_единиц_товара]]</f>
        <v>175500</v>
      </c>
      <c r="E778" s="45" t="s">
        <v>79</v>
      </c>
      <c r="F778" s="45" t="s">
        <v>96</v>
      </c>
    </row>
    <row r="779" spans="1:6" x14ac:dyDescent="0.3">
      <c r="A779" s="44">
        <v>43331.407854745368</v>
      </c>
      <c r="B779" s="45" t="s">
        <v>58</v>
      </c>
      <c r="C779" s="45">
        <v>31</v>
      </c>
      <c r="D779" s="47">
        <f>VLOOKUP(Добавить18[[#This Row],[Товар]],Итоговая!$G$1:$H$14,2,0)*Добавить18[[#This Row],[количество_единиц_товара]]</f>
        <v>138105</v>
      </c>
      <c r="E779" s="45" t="s">
        <v>81</v>
      </c>
      <c r="F779" s="45" t="s">
        <v>96</v>
      </c>
    </row>
    <row r="780" spans="1:6" x14ac:dyDescent="0.3">
      <c r="A780" s="44">
        <v>43358.807472442131</v>
      </c>
      <c r="B780" s="45" t="s">
        <v>59</v>
      </c>
      <c r="C780" s="45">
        <v>15</v>
      </c>
      <c r="D780" s="47">
        <f>VLOOKUP(Добавить18[[#This Row],[Товар]],Итоговая!$G$1:$H$14,2,0)*Добавить18[[#This Row],[количество_единиц_товара]]</f>
        <v>30000</v>
      </c>
      <c r="E780" s="45" t="s">
        <v>80</v>
      </c>
      <c r="F780" s="45" t="s">
        <v>96</v>
      </c>
    </row>
    <row r="781" spans="1:6" x14ac:dyDescent="0.3">
      <c r="A781" s="44">
        <v>43367.683421828704</v>
      </c>
      <c r="B781" s="45" t="s">
        <v>58</v>
      </c>
      <c r="C781" s="45">
        <v>21</v>
      </c>
      <c r="D781" s="47">
        <f>VLOOKUP(Добавить18[[#This Row],[Товар]],Итоговая!$G$1:$H$14,2,0)*Добавить18[[#This Row],[количество_единиц_товара]]</f>
        <v>93555</v>
      </c>
      <c r="E781" s="45" t="s">
        <v>80</v>
      </c>
      <c r="F781" s="45" t="s">
        <v>96</v>
      </c>
    </row>
    <row r="782" spans="1:6" x14ac:dyDescent="0.3">
      <c r="A782" s="44">
        <v>43373.782568090275</v>
      </c>
      <c r="B782" s="45" t="s">
        <v>52</v>
      </c>
      <c r="C782" s="45">
        <v>33</v>
      </c>
      <c r="D782" s="47">
        <f>VLOOKUP(Добавить18[[#This Row],[Товар]],Итоговая!$G$1:$H$14,2,0)*Добавить18[[#This Row],[количество_единиц_товара]]</f>
        <v>22440</v>
      </c>
      <c r="E782" s="45" t="s">
        <v>80</v>
      </c>
      <c r="F782" s="45" t="s">
        <v>96</v>
      </c>
    </row>
    <row r="783" spans="1:6" x14ac:dyDescent="0.3">
      <c r="A783" s="44">
        <v>43376.052644467592</v>
      </c>
      <c r="B783" s="45" t="s">
        <v>52</v>
      </c>
      <c r="C783" s="45">
        <v>21</v>
      </c>
      <c r="D783" s="47">
        <f>VLOOKUP(Добавить18[[#This Row],[Товар]],Итоговая!$G$1:$H$14,2,0)*Добавить18[[#This Row],[количество_единиц_товара]]</f>
        <v>14280</v>
      </c>
      <c r="E783" s="45" t="s">
        <v>80</v>
      </c>
      <c r="F783" s="45" t="s">
        <v>96</v>
      </c>
    </row>
    <row r="784" spans="1:6" x14ac:dyDescent="0.3">
      <c r="A784" s="44">
        <v>43381.150036666666</v>
      </c>
      <c r="B784" s="45" t="s">
        <v>50</v>
      </c>
      <c r="C784" s="45">
        <v>27</v>
      </c>
      <c r="D784" s="47">
        <f>VLOOKUP(Добавить18[[#This Row],[Товар]],Итоговая!$G$1:$H$14,2,0)*Добавить18[[#This Row],[количество_единиц_товара]]</f>
        <v>59400</v>
      </c>
      <c r="E784" s="45" t="s">
        <v>81</v>
      </c>
      <c r="F784" s="45" t="s">
        <v>96</v>
      </c>
    </row>
    <row r="785" spans="1:6" x14ac:dyDescent="0.3">
      <c r="A785" s="44">
        <v>43384.726934791666</v>
      </c>
      <c r="B785" s="45" t="s">
        <v>52</v>
      </c>
      <c r="C785" s="45">
        <v>11</v>
      </c>
      <c r="D785" s="47">
        <f>VLOOKUP(Добавить18[[#This Row],[Товар]],Итоговая!$G$1:$H$14,2,0)*Добавить18[[#This Row],[количество_единиц_товара]]</f>
        <v>7480</v>
      </c>
      <c r="E785" s="45" t="s">
        <v>80</v>
      </c>
      <c r="F785" s="45" t="s">
        <v>96</v>
      </c>
    </row>
    <row r="786" spans="1:6" x14ac:dyDescent="0.3">
      <c r="A786" s="44">
        <v>43387.066798078704</v>
      </c>
      <c r="B786" s="45" t="s">
        <v>56</v>
      </c>
      <c r="C786" s="45">
        <v>36</v>
      </c>
      <c r="D786" s="47">
        <f>VLOOKUP(Добавить18[[#This Row],[Товар]],Итоговая!$G$1:$H$14,2,0)*Добавить18[[#This Row],[количество_единиц_товара]]</f>
        <v>57600</v>
      </c>
      <c r="E786" s="45" t="s">
        <v>79</v>
      </c>
      <c r="F786" s="45" t="s">
        <v>96</v>
      </c>
    </row>
    <row r="787" spans="1:6" x14ac:dyDescent="0.3">
      <c r="A787" s="44">
        <v>43402.55784642361</v>
      </c>
      <c r="B787" s="45" t="s">
        <v>49</v>
      </c>
      <c r="C787" s="45">
        <v>21</v>
      </c>
      <c r="D787" s="47">
        <f>VLOOKUP(Добавить18[[#This Row],[Товар]],Итоговая!$G$1:$H$14,2,0)*Добавить18[[#This Row],[количество_единиц_товара]]</f>
        <v>65100</v>
      </c>
      <c r="E787" s="45" t="s">
        <v>81</v>
      </c>
      <c r="F787" s="45" t="s">
        <v>96</v>
      </c>
    </row>
    <row r="788" spans="1:6" x14ac:dyDescent="0.3">
      <c r="A788" s="44">
        <v>43414.147909363426</v>
      </c>
      <c r="B788" s="45" t="s">
        <v>52</v>
      </c>
      <c r="C788" s="45">
        <v>10</v>
      </c>
      <c r="D788" s="47">
        <f>VLOOKUP(Добавить18[[#This Row],[Товар]],Итоговая!$G$1:$H$14,2,0)*Добавить18[[#This Row],[количество_единиц_товара]]</f>
        <v>6800</v>
      </c>
      <c r="E788" s="45" t="s">
        <v>79</v>
      </c>
      <c r="F788" s="45" t="s">
        <v>96</v>
      </c>
    </row>
    <row r="789" spans="1:6" x14ac:dyDescent="0.3">
      <c r="A789" s="44">
        <v>43416.349008229168</v>
      </c>
      <c r="B789" s="45" t="s">
        <v>60</v>
      </c>
      <c r="C789" s="45">
        <v>23</v>
      </c>
      <c r="D789" s="47">
        <f>VLOOKUP(Добавить18[[#This Row],[Товар]],Итоговая!$G$1:$H$14,2,0)*Добавить18[[#This Row],[количество_единиц_товара]]</f>
        <v>133147</v>
      </c>
      <c r="E789" s="45" t="s">
        <v>80</v>
      </c>
      <c r="F789" s="45" t="s">
        <v>96</v>
      </c>
    </row>
    <row r="790" spans="1:6" x14ac:dyDescent="0.3">
      <c r="A790" s="44">
        <v>43420.645382372684</v>
      </c>
      <c r="B790" s="45" t="s">
        <v>52</v>
      </c>
      <c r="C790" s="45">
        <v>19</v>
      </c>
      <c r="D790" s="47">
        <f>VLOOKUP(Добавить18[[#This Row],[Товар]],Итоговая!$G$1:$H$14,2,0)*Добавить18[[#This Row],[количество_единиц_товара]]</f>
        <v>12920</v>
      </c>
      <c r="E790" s="45" t="s">
        <v>81</v>
      </c>
      <c r="F790" s="45" t="s">
        <v>96</v>
      </c>
    </row>
    <row r="791" spans="1:6" x14ac:dyDescent="0.3">
      <c r="A791" s="44">
        <v>43429.97733976852</v>
      </c>
      <c r="B791" s="45" t="s">
        <v>50</v>
      </c>
      <c r="C791" s="45">
        <v>23</v>
      </c>
      <c r="D791" s="47">
        <f>VLOOKUP(Добавить18[[#This Row],[Товар]],Итоговая!$G$1:$H$14,2,0)*Добавить18[[#This Row],[количество_единиц_товара]]</f>
        <v>50600</v>
      </c>
      <c r="E791" s="45" t="s">
        <v>80</v>
      </c>
      <c r="F791" s="45" t="s">
        <v>96</v>
      </c>
    </row>
    <row r="792" spans="1:6" x14ac:dyDescent="0.3">
      <c r="A792" s="44">
        <v>43434.994548576389</v>
      </c>
      <c r="B792" s="45" t="s">
        <v>59</v>
      </c>
      <c r="C792" s="45">
        <v>24</v>
      </c>
      <c r="D792" s="47">
        <f>VLOOKUP(Добавить18[[#This Row],[Товар]],Итоговая!$G$1:$H$14,2,0)*Добавить18[[#This Row],[количество_единиц_товара]]</f>
        <v>48000</v>
      </c>
      <c r="E792" s="45" t="s">
        <v>80</v>
      </c>
      <c r="F792" s="45" t="s">
        <v>96</v>
      </c>
    </row>
    <row r="793" spans="1:6" x14ac:dyDescent="0.3">
      <c r="A793" s="44">
        <v>43443.009909247688</v>
      </c>
      <c r="B793" s="45" t="s">
        <v>49</v>
      </c>
      <c r="C793" s="45">
        <v>17</v>
      </c>
      <c r="D793" s="47">
        <f>VLOOKUP(Добавить18[[#This Row],[Товар]],Итоговая!$G$1:$H$14,2,0)*Добавить18[[#This Row],[количество_единиц_товара]]</f>
        <v>52700</v>
      </c>
      <c r="E793" s="45" t="s">
        <v>79</v>
      </c>
      <c r="F793" s="45" t="s">
        <v>96</v>
      </c>
    </row>
    <row r="794" spans="1:6" x14ac:dyDescent="0.3">
      <c r="A794" s="44">
        <v>43450.36735537037</v>
      </c>
      <c r="B794" s="45" t="s">
        <v>56</v>
      </c>
      <c r="C794" s="45">
        <v>39</v>
      </c>
      <c r="D794" s="47">
        <f>VLOOKUP(Добавить18[[#This Row],[Товар]],Итоговая!$G$1:$H$14,2,0)*Добавить18[[#This Row],[количество_единиц_товара]]</f>
        <v>62400</v>
      </c>
      <c r="E794" s="45" t="s">
        <v>80</v>
      </c>
      <c r="F794" s="45" t="s">
        <v>96</v>
      </c>
    </row>
    <row r="795" spans="1:6" x14ac:dyDescent="0.3">
      <c r="A795" s="44">
        <v>43464.458606597225</v>
      </c>
      <c r="B795" s="45" t="s">
        <v>51</v>
      </c>
      <c r="C795" s="45">
        <v>15</v>
      </c>
      <c r="D795" s="47">
        <f>VLOOKUP(Добавить18[[#This Row],[Товар]],Итоговая!$G$1:$H$14,2,0)*Добавить18[[#This Row],[количество_единиц_товара]]</f>
        <v>38400</v>
      </c>
      <c r="E795" s="45" t="s">
        <v>80</v>
      </c>
      <c r="F795" s="45" t="s">
        <v>96</v>
      </c>
    </row>
    <row r="796" spans="1:6" x14ac:dyDescent="0.3">
      <c r="A796" s="44">
        <v>43467.502372569441</v>
      </c>
      <c r="B796" s="45" t="s">
        <v>58</v>
      </c>
      <c r="C796" s="45">
        <v>35</v>
      </c>
      <c r="D796" s="47">
        <f>VLOOKUP(Добавить18[[#This Row],[Товар]],Итоговая!$G$1:$H$14,2,0)*Добавить18[[#This Row],[количество_единиц_товара]]</f>
        <v>155925</v>
      </c>
      <c r="E796" s="45" t="s">
        <v>80</v>
      </c>
      <c r="F796" s="45" t="s">
        <v>96</v>
      </c>
    </row>
    <row r="797" spans="1:6" x14ac:dyDescent="0.3">
      <c r="A797" s="44">
        <v>43470.753413472223</v>
      </c>
      <c r="B797" s="45" t="s">
        <v>58</v>
      </c>
      <c r="C797" s="45">
        <v>10</v>
      </c>
      <c r="D797" s="47">
        <f>VLOOKUP(Добавить18[[#This Row],[Товар]],Итоговая!$G$1:$H$14,2,0)*Добавить18[[#This Row],[количество_единиц_товара]]</f>
        <v>44550</v>
      </c>
      <c r="E797" s="45" t="s">
        <v>81</v>
      </c>
      <c r="F797" s="45" t="s">
        <v>96</v>
      </c>
    </row>
    <row r="798" spans="1:6" x14ac:dyDescent="0.3">
      <c r="A798" s="44">
        <v>43480.000224178242</v>
      </c>
      <c r="B798" s="45" t="s">
        <v>53</v>
      </c>
      <c r="C798" s="45">
        <v>38</v>
      </c>
      <c r="D798" s="47">
        <f>VLOOKUP(Добавить18[[#This Row],[Товар]],Итоговая!$G$1:$H$14,2,0)*Добавить18[[#This Row],[количество_единиц_товара]]</f>
        <v>67944</v>
      </c>
      <c r="E798" s="45" t="s">
        <v>79</v>
      </c>
      <c r="F798" s="45" t="s">
        <v>96</v>
      </c>
    </row>
    <row r="799" spans="1:6" x14ac:dyDescent="0.3">
      <c r="A799" s="44">
        <v>43489.495171006944</v>
      </c>
      <c r="B799" s="45" t="s">
        <v>52</v>
      </c>
      <c r="C799" s="45">
        <v>28</v>
      </c>
      <c r="D799" s="47">
        <f>VLOOKUP(Добавить18[[#This Row],[Товар]],Итоговая!$G$1:$H$14,2,0)*Добавить18[[#This Row],[количество_единиц_товара]]</f>
        <v>19040</v>
      </c>
      <c r="E799" s="45" t="s">
        <v>79</v>
      </c>
      <c r="F799" s="45" t="s">
        <v>96</v>
      </c>
    </row>
    <row r="800" spans="1:6" x14ac:dyDescent="0.3">
      <c r="A800" s="44">
        <v>43521.431152430552</v>
      </c>
      <c r="B800" s="45" t="s">
        <v>56</v>
      </c>
      <c r="C800" s="45">
        <v>22</v>
      </c>
      <c r="D800" s="47">
        <f>VLOOKUP(Добавить18[[#This Row],[Товар]],Итоговая!$G$1:$H$14,2,0)*Добавить18[[#This Row],[количество_единиц_товара]]</f>
        <v>35200</v>
      </c>
      <c r="E800" s="45" t="s">
        <v>80</v>
      </c>
      <c r="F800" s="45" t="s">
        <v>96</v>
      </c>
    </row>
    <row r="801" spans="1:6" x14ac:dyDescent="0.3">
      <c r="A801" s="44">
        <v>43548.000910532406</v>
      </c>
      <c r="B801" s="45" t="s">
        <v>52</v>
      </c>
      <c r="C801" s="45">
        <v>12</v>
      </c>
      <c r="D801" s="47">
        <f>VLOOKUP(Добавить18[[#This Row],[Товар]],Итоговая!$G$1:$H$14,2,0)*Добавить18[[#This Row],[количество_единиц_товара]]</f>
        <v>8160</v>
      </c>
      <c r="E801" s="45" t="s">
        <v>81</v>
      </c>
      <c r="F801" s="45" t="s">
        <v>96</v>
      </c>
    </row>
    <row r="802" spans="1:6" x14ac:dyDescent="0.3">
      <c r="A802" s="44">
        <v>43562.59096577546</v>
      </c>
      <c r="B802" s="45" t="s">
        <v>51</v>
      </c>
      <c r="C802" s="45">
        <v>18</v>
      </c>
      <c r="D802" s="47">
        <f>VLOOKUP(Добавить18[[#This Row],[Товар]],Итоговая!$G$1:$H$14,2,0)*Добавить18[[#This Row],[количество_единиц_товара]]</f>
        <v>46080</v>
      </c>
      <c r="E802" s="45" t="s">
        <v>80</v>
      </c>
      <c r="F802" s="45" t="s">
        <v>96</v>
      </c>
    </row>
    <row r="803" spans="1:6" x14ac:dyDescent="0.3">
      <c r="A803" s="44">
        <v>43569.846040486111</v>
      </c>
      <c r="B803" s="45" t="s">
        <v>58</v>
      </c>
      <c r="C803" s="45">
        <v>39</v>
      </c>
      <c r="D803" s="47">
        <f>VLOOKUP(Добавить18[[#This Row],[Товар]],Итоговая!$G$1:$H$14,2,0)*Добавить18[[#This Row],[количество_единиц_товара]]</f>
        <v>173745</v>
      </c>
      <c r="E803" s="45" t="s">
        <v>79</v>
      </c>
      <c r="F803" s="45" t="s">
        <v>96</v>
      </c>
    </row>
    <row r="804" spans="1:6" x14ac:dyDescent="0.3">
      <c r="A804" s="44">
        <v>43588.077788425922</v>
      </c>
      <c r="B804" s="45" t="s">
        <v>54</v>
      </c>
      <c r="C804" s="45">
        <v>35</v>
      </c>
      <c r="D804" s="47">
        <f>VLOOKUP(Добавить18[[#This Row],[Товар]],Итоговая!$G$1:$H$14,2,0)*Добавить18[[#This Row],[количество_единиц_товара]]</f>
        <v>85750</v>
      </c>
      <c r="E804" s="45" t="s">
        <v>80</v>
      </c>
      <c r="F804" s="45" t="s">
        <v>96</v>
      </c>
    </row>
    <row r="805" spans="1:6" x14ac:dyDescent="0.3">
      <c r="A805" s="44">
        <v>43599.289826736109</v>
      </c>
      <c r="B805" s="45" t="s">
        <v>54</v>
      </c>
      <c r="C805" s="45">
        <v>23</v>
      </c>
      <c r="D805" s="47">
        <f>VLOOKUP(Добавить18[[#This Row],[Товар]],Итоговая!$G$1:$H$14,2,0)*Добавить18[[#This Row],[количество_единиц_товара]]</f>
        <v>56350</v>
      </c>
      <c r="E805" s="45" t="s">
        <v>79</v>
      </c>
      <c r="F805" s="45" t="s">
        <v>96</v>
      </c>
    </row>
    <row r="806" spans="1:6" x14ac:dyDescent="0.3">
      <c r="A806" s="44">
        <v>43614.581404976852</v>
      </c>
      <c r="B806" s="45" t="s">
        <v>54</v>
      </c>
      <c r="C806" s="45">
        <v>18</v>
      </c>
      <c r="D806" s="47">
        <f>VLOOKUP(Добавить18[[#This Row],[Товар]],Итоговая!$G$1:$H$14,2,0)*Добавить18[[#This Row],[количество_единиц_товара]]</f>
        <v>44100</v>
      </c>
      <c r="E806" s="45" t="s">
        <v>81</v>
      </c>
      <c r="F806" s="45" t="s">
        <v>96</v>
      </c>
    </row>
    <row r="807" spans="1:6" x14ac:dyDescent="0.3">
      <c r="A807" s="44">
        <v>43621.137187025466</v>
      </c>
      <c r="B807" s="45" t="s">
        <v>53</v>
      </c>
      <c r="C807" s="45">
        <v>23</v>
      </c>
      <c r="D807" s="47">
        <f>VLOOKUP(Добавить18[[#This Row],[Товар]],Итоговая!$G$1:$H$14,2,0)*Добавить18[[#This Row],[количество_единиц_товара]]</f>
        <v>41124</v>
      </c>
      <c r="E807" s="45" t="s">
        <v>80</v>
      </c>
      <c r="F807" s="45" t="s">
        <v>96</v>
      </c>
    </row>
    <row r="808" spans="1:6" x14ac:dyDescent="0.3">
      <c r="A808" s="44">
        <v>43632.490813414355</v>
      </c>
      <c r="B808" s="45" t="s">
        <v>51</v>
      </c>
      <c r="C808" s="45">
        <v>37</v>
      </c>
      <c r="D808" s="47">
        <f>VLOOKUP(Добавить18[[#This Row],[Товар]],Итоговая!$G$1:$H$14,2,0)*Добавить18[[#This Row],[количество_единиц_товара]]</f>
        <v>94720</v>
      </c>
      <c r="E808" s="45" t="s">
        <v>80</v>
      </c>
      <c r="F808" s="45" t="s">
        <v>96</v>
      </c>
    </row>
    <row r="809" spans="1:6" x14ac:dyDescent="0.3">
      <c r="A809" s="44">
        <v>43652.495244722224</v>
      </c>
      <c r="B809" s="45" t="s">
        <v>53</v>
      </c>
      <c r="C809" s="45">
        <v>38</v>
      </c>
      <c r="D809" s="47">
        <f>VLOOKUP(Добавить18[[#This Row],[Товар]],Итоговая!$G$1:$H$14,2,0)*Добавить18[[#This Row],[количество_единиц_товара]]</f>
        <v>67944</v>
      </c>
      <c r="E809" s="45" t="s">
        <v>79</v>
      </c>
      <c r="F809" s="45" t="s">
        <v>96</v>
      </c>
    </row>
    <row r="810" spans="1:6" x14ac:dyDescent="0.3">
      <c r="A810" s="44">
        <v>43655.592120231478</v>
      </c>
      <c r="B810" s="45" t="s">
        <v>58</v>
      </c>
      <c r="C810" s="45">
        <v>35</v>
      </c>
      <c r="D810" s="47">
        <f>VLOOKUP(Добавить18[[#This Row],[Товар]],Итоговая!$G$1:$H$14,2,0)*Добавить18[[#This Row],[количество_единиц_товара]]</f>
        <v>155925</v>
      </c>
      <c r="E810" s="45" t="s">
        <v>80</v>
      </c>
      <c r="F810" s="45" t="s">
        <v>96</v>
      </c>
    </row>
    <row r="811" spans="1:6" x14ac:dyDescent="0.3">
      <c r="A811" s="44">
        <v>43667.327639039351</v>
      </c>
      <c r="B811" s="45" t="s">
        <v>52</v>
      </c>
      <c r="C811" s="45">
        <v>25</v>
      </c>
      <c r="D811" s="47">
        <f>VLOOKUP(Добавить18[[#This Row],[Товар]],Итоговая!$G$1:$H$14,2,0)*Добавить18[[#This Row],[количество_единиц_товара]]</f>
        <v>17000</v>
      </c>
      <c r="E811" s="45" t="s">
        <v>80</v>
      </c>
      <c r="F811" s="45" t="s">
        <v>96</v>
      </c>
    </row>
    <row r="812" spans="1:6" x14ac:dyDescent="0.3">
      <c r="A812" s="44">
        <v>43668.116078078703</v>
      </c>
      <c r="B812" s="45" t="s">
        <v>59</v>
      </c>
      <c r="C812" s="45">
        <v>23</v>
      </c>
      <c r="D812" s="47">
        <f>VLOOKUP(Добавить18[[#This Row],[Товар]],Итоговая!$G$1:$H$14,2,0)*Добавить18[[#This Row],[количество_единиц_товара]]</f>
        <v>46000</v>
      </c>
      <c r="E812" s="45" t="s">
        <v>81</v>
      </c>
      <c r="F812" s="45" t="s">
        <v>96</v>
      </c>
    </row>
    <row r="813" spans="1:6" x14ac:dyDescent="0.3">
      <c r="A813" s="44">
        <v>43693.095787361111</v>
      </c>
      <c r="B813" s="45" t="s">
        <v>52</v>
      </c>
      <c r="C813" s="45">
        <v>20</v>
      </c>
      <c r="D813" s="47">
        <f>VLOOKUP(Добавить18[[#This Row],[Товар]],Итоговая!$G$1:$H$14,2,0)*Добавить18[[#This Row],[количество_единиц_товара]]</f>
        <v>13600</v>
      </c>
      <c r="E813" s="45" t="s">
        <v>80</v>
      </c>
      <c r="F813" s="45" t="s">
        <v>96</v>
      </c>
    </row>
    <row r="814" spans="1:6" x14ac:dyDescent="0.3">
      <c r="A814" s="44">
        <v>43700.692687314811</v>
      </c>
      <c r="B814" s="45" t="s">
        <v>52</v>
      </c>
      <c r="C814" s="45">
        <v>23</v>
      </c>
      <c r="D814" s="47">
        <f>VLOOKUP(Добавить18[[#This Row],[Товар]],Итоговая!$G$1:$H$14,2,0)*Добавить18[[#This Row],[количество_единиц_товара]]</f>
        <v>15640</v>
      </c>
      <c r="E814" s="45" t="s">
        <v>79</v>
      </c>
      <c r="F814" s="45" t="s">
        <v>96</v>
      </c>
    </row>
    <row r="815" spans="1:6" x14ac:dyDescent="0.3">
      <c r="A815" s="44">
        <v>43708.533050995371</v>
      </c>
      <c r="B815" s="45" t="s">
        <v>59</v>
      </c>
      <c r="C815" s="45">
        <v>19</v>
      </c>
      <c r="D815" s="47">
        <f>VLOOKUP(Добавить18[[#This Row],[Товар]],Итоговая!$G$1:$H$14,2,0)*Добавить18[[#This Row],[количество_единиц_товара]]</f>
        <v>38000</v>
      </c>
      <c r="E815" s="45" t="s">
        <v>81</v>
      </c>
      <c r="F815" s="45" t="s">
        <v>96</v>
      </c>
    </row>
    <row r="816" spans="1:6" x14ac:dyDescent="0.3">
      <c r="A816" s="44">
        <v>43708.605315208333</v>
      </c>
      <c r="B816" s="45" t="s">
        <v>52</v>
      </c>
      <c r="C816" s="45">
        <v>18</v>
      </c>
      <c r="D816" s="47">
        <f>VLOOKUP(Добавить18[[#This Row],[Товар]],Итоговая!$G$1:$H$14,2,0)*Добавить18[[#This Row],[количество_единиц_товара]]</f>
        <v>12240</v>
      </c>
      <c r="E816" s="45" t="s">
        <v>81</v>
      </c>
      <c r="F816" s="45" t="s">
        <v>96</v>
      </c>
    </row>
    <row r="817" spans="1:6" x14ac:dyDescent="0.3">
      <c r="A817" s="44">
        <v>43711.65672201389</v>
      </c>
      <c r="B817" s="45" t="s">
        <v>52</v>
      </c>
      <c r="C817" s="45">
        <v>24</v>
      </c>
      <c r="D817" s="47">
        <f>VLOOKUP(Добавить18[[#This Row],[Товар]],Итоговая!$G$1:$H$14,2,0)*Добавить18[[#This Row],[количество_единиц_товара]]</f>
        <v>16320</v>
      </c>
      <c r="E817" s="45" t="s">
        <v>80</v>
      </c>
      <c r="F817" s="45" t="s">
        <v>96</v>
      </c>
    </row>
    <row r="818" spans="1:6" x14ac:dyDescent="0.3">
      <c r="A818" s="44">
        <v>43714.919220891206</v>
      </c>
      <c r="B818" s="45" t="s">
        <v>56</v>
      </c>
      <c r="C818" s="45">
        <v>29</v>
      </c>
      <c r="D818" s="47">
        <f>VLOOKUP(Добавить18[[#This Row],[Товар]],Итоговая!$G$1:$H$14,2,0)*Добавить18[[#This Row],[количество_единиц_товара]]</f>
        <v>46400</v>
      </c>
      <c r="E818" s="45" t="s">
        <v>79</v>
      </c>
      <c r="F818" s="45" t="s">
        <v>96</v>
      </c>
    </row>
    <row r="819" spans="1:6" x14ac:dyDescent="0.3">
      <c r="A819" s="44">
        <v>43719.327395902779</v>
      </c>
      <c r="B819" s="45" t="s">
        <v>52</v>
      </c>
      <c r="C819" s="45">
        <v>34</v>
      </c>
      <c r="D819" s="47">
        <f>VLOOKUP(Добавить18[[#This Row],[Товар]],Итоговая!$G$1:$H$14,2,0)*Добавить18[[#This Row],[количество_единиц_товара]]</f>
        <v>23120</v>
      </c>
      <c r="E819" s="45" t="s">
        <v>81</v>
      </c>
      <c r="F819" s="45" t="s">
        <v>96</v>
      </c>
    </row>
    <row r="820" spans="1:6" x14ac:dyDescent="0.3">
      <c r="A820" s="44">
        <v>43723.681814583331</v>
      </c>
      <c r="B820" s="45" t="s">
        <v>58</v>
      </c>
      <c r="C820" s="45">
        <v>22</v>
      </c>
      <c r="D820" s="47">
        <f>VLOOKUP(Добавить18[[#This Row],[Товар]],Итоговая!$G$1:$H$14,2,0)*Добавить18[[#This Row],[количество_единиц_товара]]</f>
        <v>98010</v>
      </c>
      <c r="E820" s="45" t="s">
        <v>80</v>
      </c>
      <c r="F820" s="45" t="s">
        <v>96</v>
      </c>
    </row>
    <row r="821" spans="1:6" x14ac:dyDescent="0.3">
      <c r="A821" s="44">
        <v>43726.426141701391</v>
      </c>
      <c r="B821" s="45" t="s">
        <v>51</v>
      </c>
      <c r="C821" s="45">
        <v>16</v>
      </c>
      <c r="D821" s="47">
        <f>VLOOKUP(Добавить18[[#This Row],[Товар]],Итоговая!$G$1:$H$14,2,0)*Добавить18[[#This Row],[количество_единиц_товара]]</f>
        <v>40960</v>
      </c>
      <c r="E821" s="45" t="s">
        <v>79</v>
      </c>
      <c r="F821" s="45" t="s">
        <v>96</v>
      </c>
    </row>
    <row r="822" spans="1:6" x14ac:dyDescent="0.3">
      <c r="A822" s="44">
        <v>43737.59406787037</v>
      </c>
      <c r="B822" s="45" t="s">
        <v>54</v>
      </c>
      <c r="C822" s="45">
        <v>16</v>
      </c>
      <c r="D822" s="47">
        <f>VLOOKUP(Добавить18[[#This Row],[Товар]],Итоговая!$G$1:$H$14,2,0)*Добавить18[[#This Row],[количество_единиц_товара]]</f>
        <v>39200</v>
      </c>
      <c r="E822" s="45" t="s">
        <v>81</v>
      </c>
      <c r="F822" s="45" t="s">
        <v>96</v>
      </c>
    </row>
    <row r="823" spans="1:6" x14ac:dyDescent="0.3">
      <c r="A823" s="44">
        <v>43744.720022673609</v>
      </c>
      <c r="B823" s="45" t="s">
        <v>52</v>
      </c>
      <c r="C823" s="45">
        <v>39</v>
      </c>
      <c r="D823" s="47">
        <f>VLOOKUP(Добавить18[[#This Row],[Товар]],Итоговая!$G$1:$H$14,2,0)*Добавить18[[#This Row],[количество_единиц_товара]]</f>
        <v>26520</v>
      </c>
      <c r="E823" s="45" t="s">
        <v>80</v>
      </c>
      <c r="F823" s="45" t="s">
        <v>96</v>
      </c>
    </row>
    <row r="824" spans="1:6" x14ac:dyDescent="0.3">
      <c r="A824" s="44">
        <v>43757.850874895834</v>
      </c>
      <c r="B824" s="45" t="s">
        <v>58</v>
      </c>
      <c r="C824" s="45">
        <v>16</v>
      </c>
      <c r="D824" s="47">
        <f>VLOOKUP(Добавить18[[#This Row],[Товар]],Итоговая!$G$1:$H$14,2,0)*Добавить18[[#This Row],[количество_единиц_товара]]</f>
        <v>71280</v>
      </c>
      <c r="E824" s="45" t="s">
        <v>81</v>
      </c>
      <c r="F824" s="45" t="s">
        <v>96</v>
      </c>
    </row>
    <row r="825" spans="1:6" x14ac:dyDescent="0.3">
      <c r="A825" s="44">
        <v>43760.519132905094</v>
      </c>
      <c r="B825" s="45" t="s">
        <v>52</v>
      </c>
      <c r="C825" s="45">
        <v>12</v>
      </c>
      <c r="D825" s="47">
        <f>VLOOKUP(Добавить18[[#This Row],[Товар]],Итоговая!$G$1:$H$14,2,0)*Добавить18[[#This Row],[количество_единиц_товара]]</f>
        <v>8160</v>
      </c>
      <c r="E825" s="45" t="s">
        <v>81</v>
      </c>
      <c r="F825" s="45" t="s">
        <v>96</v>
      </c>
    </row>
    <row r="826" spans="1:6" x14ac:dyDescent="0.3">
      <c r="A826" s="44">
        <v>43764.56261734954</v>
      </c>
      <c r="B826" s="45" t="s">
        <v>49</v>
      </c>
      <c r="C826" s="45">
        <v>16</v>
      </c>
      <c r="D826" s="47">
        <f>VLOOKUP(Добавить18[[#This Row],[Товар]],Итоговая!$G$1:$H$14,2,0)*Добавить18[[#This Row],[количество_единиц_товара]]</f>
        <v>49600</v>
      </c>
      <c r="E826" s="45" t="s">
        <v>81</v>
      </c>
      <c r="F826" s="45" t="s">
        <v>96</v>
      </c>
    </row>
    <row r="827" spans="1:6" x14ac:dyDescent="0.3">
      <c r="A827" s="44">
        <v>43768.420984259261</v>
      </c>
      <c r="B827" s="45" t="s">
        <v>59</v>
      </c>
      <c r="C827" s="45">
        <v>14</v>
      </c>
      <c r="D827" s="47">
        <f>VLOOKUP(Добавить18[[#This Row],[Товар]],Итоговая!$G$1:$H$14,2,0)*Добавить18[[#This Row],[количество_единиц_товара]]</f>
        <v>28000</v>
      </c>
      <c r="E827" s="45" t="s">
        <v>81</v>
      </c>
      <c r="F827" s="45" t="s">
        <v>96</v>
      </c>
    </row>
    <row r="828" spans="1:6" x14ac:dyDescent="0.3">
      <c r="A828" s="44">
        <v>43772.203643055553</v>
      </c>
      <c r="B828" s="45" t="s">
        <v>58</v>
      </c>
      <c r="C828" s="45">
        <v>40</v>
      </c>
      <c r="D828" s="47">
        <f>VLOOKUP(Добавить18[[#This Row],[Товар]],Итоговая!$G$1:$H$14,2,0)*Добавить18[[#This Row],[количество_единиц_товара]]</f>
        <v>178200</v>
      </c>
      <c r="E828" s="45" t="s">
        <v>79</v>
      </c>
      <c r="F828" s="45" t="s">
        <v>96</v>
      </c>
    </row>
    <row r="829" spans="1:6" x14ac:dyDescent="0.3">
      <c r="A829" s="44">
        <v>43784.344504293978</v>
      </c>
      <c r="B829" s="45" t="s">
        <v>51</v>
      </c>
      <c r="C829" s="45">
        <v>27</v>
      </c>
      <c r="D829" s="47">
        <f>VLOOKUP(Добавить18[[#This Row],[Товар]],Итоговая!$G$1:$H$14,2,0)*Добавить18[[#This Row],[количество_единиц_товара]]</f>
        <v>69120</v>
      </c>
      <c r="E829" s="45" t="s">
        <v>79</v>
      </c>
      <c r="F829" s="45" t="s">
        <v>96</v>
      </c>
    </row>
    <row r="830" spans="1:6" x14ac:dyDescent="0.3">
      <c r="A830" s="44">
        <v>43792.781134791665</v>
      </c>
      <c r="B830" s="45" t="s">
        <v>58</v>
      </c>
      <c r="C830" s="45">
        <v>16</v>
      </c>
      <c r="D830" s="47">
        <f>VLOOKUP(Добавить18[[#This Row],[Товар]],Итоговая!$G$1:$H$14,2,0)*Добавить18[[#This Row],[количество_единиц_товара]]</f>
        <v>71280</v>
      </c>
      <c r="E830" s="45" t="s">
        <v>81</v>
      </c>
      <c r="F830" s="45" t="s">
        <v>96</v>
      </c>
    </row>
    <row r="831" spans="1:6" x14ac:dyDescent="0.3">
      <c r="A831" s="44">
        <v>43796.915766122685</v>
      </c>
      <c r="B831" s="45" t="s">
        <v>51</v>
      </c>
      <c r="C831" s="45">
        <v>10</v>
      </c>
      <c r="D831" s="47">
        <f>VLOOKUP(Добавить18[[#This Row],[Товар]],Итоговая!$G$1:$H$14,2,0)*Добавить18[[#This Row],[количество_единиц_товара]]</f>
        <v>25600</v>
      </c>
      <c r="E831" s="45" t="s">
        <v>80</v>
      </c>
      <c r="F831" s="45" t="s">
        <v>96</v>
      </c>
    </row>
    <row r="832" spans="1:6" x14ac:dyDescent="0.3">
      <c r="A832" s="44">
        <v>43864.884237754632</v>
      </c>
      <c r="B832" s="45" t="s">
        <v>58</v>
      </c>
      <c r="C832" s="45">
        <v>15</v>
      </c>
      <c r="D832" s="47">
        <f>VLOOKUP(Добавить18[[#This Row],[Товар]],Итоговая!$G$1:$H$14,2,0)*Добавить18[[#This Row],[количество_единиц_товара]]</f>
        <v>66825</v>
      </c>
      <c r="E832" s="45" t="s">
        <v>79</v>
      </c>
      <c r="F832" s="45" t="s">
        <v>96</v>
      </c>
    </row>
    <row r="833" spans="1:6" x14ac:dyDescent="0.3">
      <c r="A833" s="44">
        <v>43899.694888969905</v>
      </c>
      <c r="B833" s="45" t="s">
        <v>60</v>
      </c>
      <c r="C833" s="45">
        <v>35</v>
      </c>
      <c r="D833" s="47">
        <f>VLOOKUP(Добавить18[[#This Row],[Товар]],Итоговая!$G$1:$H$14,2,0)*Добавить18[[#This Row],[количество_единиц_товара]]</f>
        <v>202615</v>
      </c>
      <c r="E833" s="45" t="s">
        <v>80</v>
      </c>
      <c r="F833" s="45" t="s">
        <v>96</v>
      </c>
    </row>
    <row r="834" spans="1:6" x14ac:dyDescent="0.3">
      <c r="A834" s="44">
        <v>43902.918889247689</v>
      </c>
      <c r="B834" s="45" t="s">
        <v>49</v>
      </c>
      <c r="C834" s="45">
        <v>18</v>
      </c>
      <c r="D834" s="47">
        <f>VLOOKUP(Добавить18[[#This Row],[Товар]],Итоговая!$G$1:$H$14,2,0)*Добавить18[[#This Row],[количество_единиц_товара]]</f>
        <v>55800</v>
      </c>
      <c r="E834" s="45" t="s">
        <v>80</v>
      </c>
      <c r="F834" s="45" t="s">
        <v>96</v>
      </c>
    </row>
    <row r="835" spans="1:6" x14ac:dyDescent="0.3">
      <c r="A835" s="44">
        <v>43915.454071712964</v>
      </c>
      <c r="B835" s="45" t="s">
        <v>50</v>
      </c>
      <c r="C835" s="45">
        <v>21</v>
      </c>
      <c r="D835" s="47">
        <f>VLOOKUP(Добавить18[[#This Row],[Товар]],Итоговая!$G$1:$H$14,2,0)*Добавить18[[#This Row],[количество_единиц_товара]]</f>
        <v>46200</v>
      </c>
      <c r="E835" s="45" t="s">
        <v>80</v>
      </c>
      <c r="F835" s="45" t="s">
        <v>96</v>
      </c>
    </row>
    <row r="836" spans="1:6" x14ac:dyDescent="0.3">
      <c r="A836" s="44">
        <v>43920.27524880787</v>
      </c>
      <c r="B836" s="45" t="s">
        <v>49</v>
      </c>
      <c r="C836" s="45">
        <v>32</v>
      </c>
      <c r="D836" s="47">
        <f>VLOOKUP(Добавить18[[#This Row],[Товар]],Итоговая!$G$1:$H$14,2,0)*Добавить18[[#This Row],[количество_единиц_товара]]</f>
        <v>99200</v>
      </c>
      <c r="E836" s="45" t="s">
        <v>79</v>
      </c>
      <c r="F836" s="45" t="s">
        <v>96</v>
      </c>
    </row>
    <row r="837" spans="1:6" x14ac:dyDescent="0.3">
      <c r="A837" s="44">
        <v>43936.125624004628</v>
      </c>
      <c r="B837" s="45" t="s">
        <v>54</v>
      </c>
      <c r="C837" s="45">
        <v>35</v>
      </c>
      <c r="D837" s="47">
        <f>VLOOKUP(Добавить18[[#This Row],[Товар]],Итоговая!$G$1:$H$14,2,0)*Добавить18[[#This Row],[количество_единиц_товара]]</f>
        <v>85750</v>
      </c>
      <c r="E837" s="45" t="s">
        <v>81</v>
      </c>
      <c r="F837" s="45" t="s">
        <v>96</v>
      </c>
    </row>
    <row r="838" spans="1:6" x14ac:dyDescent="0.3">
      <c r="A838" s="44">
        <v>43939.401862256942</v>
      </c>
      <c r="B838" s="45" t="s">
        <v>51</v>
      </c>
      <c r="C838" s="45">
        <v>14</v>
      </c>
      <c r="D838" s="47">
        <f>VLOOKUP(Добавить18[[#This Row],[Товар]],Итоговая!$G$1:$H$14,2,0)*Добавить18[[#This Row],[количество_единиц_товара]]</f>
        <v>35840</v>
      </c>
      <c r="E838" s="45" t="s">
        <v>80</v>
      </c>
      <c r="F838" s="45" t="s">
        <v>96</v>
      </c>
    </row>
    <row r="839" spans="1:6" x14ac:dyDescent="0.3">
      <c r="A839" s="44">
        <v>43956.49199988426</v>
      </c>
      <c r="B839" s="45" t="s">
        <v>50</v>
      </c>
      <c r="C839" s="45">
        <v>27</v>
      </c>
      <c r="D839" s="47">
        <f>VLOOKUP(Добавить18[[#This Row],[Товар]],Итоговая!$G$1:$H$14,2,0)*Добавить18[[#This Row],[количество_единиц_товара]]</f>
        <v>59400</v>
      </c>
      <c r="E839" s="45" t="s">
        <v>80</v>
      </c>
      <c r="F839" s="45" t="s">
        <v>96</v>
      </c>
    </row>
    <row r="840" spans="1:6" x14ac:dyDescent="0.3">
      <c r="A840" s="44">
        <v>43966.497899942129</v>
      </c>
      <c r="B840" s="45" t="s">
        <v>61</v>
      </c>
      <c r="C840" s="45">
        <v>35</v>
      </c>
      <c r="D840" s="47">
        <f>VLOOKUP(Добавить18[[#This Row],[Товар]],Итоговая!$G$1:$H$14,2,0)*Добавить18[[#This Row],[количество_единиц_товара]]</f>
        <v>121450</v>
      </c>
      <c r="E840" s="45" t="s">
        <v>80</v>
      </c>
      <c r="F840" s="45" t="s">
        <v>96</v>
      </c>
    </row>
    <row r="841" spans="1:6" x14ac:dyDescent="0.3">
      <c r="A841" s="44">
        <v>43969.982601747688</v>
      </c>
      <c r="B841" s="45" t="s">
        <v>54</v>
      </c>
      <c r="C841" s="45">
        <v>13</v>
      </c>
      <c r="D841" s="47">
        <f>VLOOKUP(Добавить18[[#This Row],[Товар]],Итоговая!$G$1:$H$14,2,0)*Добавить18[[#This Row],[количество_единиц_товара]]</f>
        <v>31850</v>
      </c>
      <c r="E841" s="45" t="s">
        <v>79</v>
      </c>
      <c r="F841" s="45" t="s">
        <v>96</v>
      </c>
    </row>
    <row r="842" spans="1:6" x14ac:dyDescent="0.3">
      <c r="A842" s="44">
        <v>43986.428039826387</v>
      </c>
      <c r="B842" s="45" t="s">
        <v>52</v>
      </c>
      <c r="C842" s="45">
        <v>22</v>
      </c>
      <c r="D842" s="47">
        <f>VLOOKUP(Добавить18[[#This Row],[Товар]],Итоговая!$G$1:$H$14,2,0)*Добавить18[[#This Row],[количество_единиц_товара]]</f>
        <v>14960</v>
      </c>
      <c r="E842" s="45" t="s">
        <v>81</v>
      </c>
      <c r="F842" s="45" t="s">
        <v>96</v>
      </c>
    </row>
    <row r="843" spans="1:6" x14ac:dyDescent="0.3">
      <c r="A843" s="44">
        <v>43989.355363472219</v>
      </c>
      <c r="B843" s="45" t="s">
        <v>56</v>
      </c>
      <c r="C843" s="45">
        <v>27</v>
      </c>
      <c r="D843" s="47">
        <f>VLOOKUP(Добавить18[[#This Row],[Товар]],Итоговая!$G$1:$H$14,2,0)*Добавить18[[#This Row],[количество_единиц_товара]]</f>
        <v>43200</v>
      </c>
      <c r="E843" s="45" t="s">
        <v>80</v>
      </c>
      <c r="F843" s="45" t="s">
        <v>96</v>
      </c>
    </row>
    <row r="844" spans="1:6" x14ac:dyDescent="0.3">
      <c r="A844" s="44">
        <v>43990.458386956016</v>
      </c>
      <c r="B844" s="45" t="s">
        <v>49</v>
      </c>
      <c r="C844" s="45">
        <v>27</v>
      </c>
      <c r="D844" s="47">
        <f>VLOOKUP(Добавить18[[#This Row],[Товар]],Итоговая!$G$1:$H$14,2,0)*Добавить18[[#This Row],[количество_единиц_товара]]</f>
        <v>83700</v>
      </c>
      <c r="E844" s="45" t="s">
        <v>80</v>
      </c>
      <c r="F844" s="45" t="s">
        <v>96</v>
      </c>
    </row>
    <row r="845" spans="1:6" x14ac:dyDescent="0.3">
      <c r="A845" s="44">
        <v>43991.832731712966</v>
      </c>
      <c r="B845" s="45" t="s">
        <v>51</v>
      </c>
      <c r="C845" s="45">
        <v>16</v>
      </c>
      <c r="D845" s="47">
        <f>VLOOKUP(Добавить18[[#This Row],[Товар]],Итоговая!$G$1:$H$14,2,0)*Добавить18[[#This Row],[количество_единиц_товара]]</f>
        <v>40960</v>
      </c>
      <c r="E845" s="45" t="s">
        <v>80</v>
      </c>
      <c r="F845" s="45" t="s">
        <v>96</v>
      </c>
    </row>
    <row r="846" spans="1:6" x14ac:dyDescent="0.3">
      <c r="A846" s="44">
        <v>44001.448129212964</v>
      </c>
      <c r="B846" s="45" t="s">
        <v>56</v>
      </c>
      <c r="C846" s="45">
        <v>24</v>
      </c>
      <c r="D846" s="47">
        <f>VLOOKUP(Добавить18[[#This Row],[Товар]],Итоговая!$G$1:$H$14,2,0)*Добавить18[[#This Row],[количество_единиц_товара]]</f>
        <v>38400</v>
      </c>
      <c r="E846" s="45" t="s">
        <v>79</v>
      </c>
      <c r="F846" s="45" t="s">
        <v>96</v>
      </c>
    </row>
    <row r="847" spans="1:6" x14ac:dyDescent="0.3">
      <c r="A847" s="44">
        <v>44004.22135010417</v>
      </c>
      <c r="B847" s="45" t="s">
        <v>52</v>
      </c>
      <c r="C847" s="45">
        <v>28</v>
      </c>
      <c r="D847" s="47">
        <f>VLOOKUP(Добавить18[[#This Row],[Товар]],Итоговая!$G$1:$H$14,2,0)*Добавить18[[#This Row],[количество_единиц_товара]]</f>
        <v>19040</v>
      </c>
      <c r="E847" s="45" t="s">
        <v>81</v>
      </c>
      <c r="F847" s="45" t="s">
        <v>96</v>
      </c>
    </row>
    <row r="848" spans="1:6" x14ac:dyDescent="0.3">
      <c r="A848" s="44">
        <v>44008.812411678242</v>
      </c>
      <c r="B848" s="45" t="s">
        <v>54</v>
      </c>
      <c r="C848" s="45">
        <v>39</v>
      </c>
      <c r="D848" s="47">
        <f>VLOOKUP(Добавить18[[#This Row],[Товар]],Итоговая!$G$1:$H$14,2,0)*Добавить18[[#This Row],[количество_единиц_товара]]</f>
        <v>95550</v>
      </c>
      <c r="E848" s="45" t="s">
        <v>80</v>
      </c>
      <c r="F848" s="45" t="s">
        <v>96</v>
      </c>
    </row>
    <row r="849" spans="1:6" x14ac:dyDescent="0.3">
      <c r="A849" s="44">
        <v>44015.419430648151</v>
      </c>
      <c r="B849" s="45" t="s">
        <v>60</v>
      </c>
      <c r="C849" s="45">
        <v>31</v>
      </c>
      <c r="D849" s="47">
        <f>VLOOKUP(Добавить18[[#This Row],[Товар]],Итоговая!$G$1:$H$14,2,0)*Добавить18[[#This Row],[количество_единиц_товара]]</f>
        <v>179459</v>
      </c>
      <c r="E849" s="45" t="s">
        <v>80</v>
      </c>
      <c r="F849" s="45" t="s">
        <v>96</v>
      </c>
    </row>
    <row r="850" spans="1:6" x14ac:dyDescent="0.3">
      <c r="A850" s="44">
        <v>44030.289271516202</v>
      </c>
      <c r="B850" s="45" t="s">
        <v>58</v>
      </c>
      <c r="C850" s="45">
        <v>10</v>
      </c>
      <c r="D850" s="47">
        <f>VLOOKUP(Добавить18[[#This Row],[Товар]],Итоговая!$G$1:$H$14,2,0)*Добавить18[[#This Row],[количество_единиц_товара]]</f>
        <v>44550</v>
      </c>
      <c r="E850" s="45" t="s">
        <v>80</v>
      </c>
      <c r="F850" s="45" t="s">
        <v>96</v>
      </c>
    </row>
    <row r="851" spans="1:6" x14ac:dyDescent="0.3">
      <c r="A851" s="44">
        <v>44041.621101168981</v>
      </c>
      <c r="B851" s="45" t="s">
        <v>51</v>
      </c>
      <c r="C851" s="45">
        <v>15</v>
      </c>
      <c r="D851" s="47">
        <f>VLOOKUP(Добавить18[[#This Row],[Товар]],Итоговая!$G$1:$H$14,2,0)*Добавить18[[#This Row],[количество_единиц_товара]]</f>
        <v>38400</v>
      </c>
      <c r="E851" s="45" t="s">
        <v>79</v>
      </c>
      <c r="F851" s="45" t="s">
        <v>96</v>
      </c>
    </row>
    <row r="852" spans="1:6" x14ac:dyDescent="0.3">
      <c r="A852" s="44">
        <v>44045.92231465278</v>
      </c>
      <c r="B852" s="45" t="s">
        <v>59</v>
      </c>
      <c r="C852" s="45">
        <v>25</v>
      </c>
      <c r="D852" s="47">
        <f>VLOOKUP(Добавить18[[#This Row],[Товар]],Итоговая!$G$1:$H$14,2,0)*Добавить18[[#This Row],[количество_единиц_товара]]</f>
        <v>50000</v>
      </c>
      <c r="E852" s="45" t="s">
        <v>81</v>
      </c>
      <c r="F852" s="45" t="s">
        <v>96</v>
      </c>
    </row>
    <row r="853" spans="1:6" x14ac:dyDescent="0.3">
      <c r="A853" s="44">
        <v>44052.687829699076</v>
      </c>
      <c r="B853" s="45" t="s">
        <v>49</v>
      </c>
      <c r="C853" s="45">
        <v>39</v>
      </c>
      <c r="D853" s="47">
        <f>VLOOKUP(Добавить18[[#This Row],[Товар]],Итоговая!$G$1:$H$14,2,0)*Добавить18[[#This Row],[количество_единиц_товара]]</f>
        <v>120900</v>
      </c>
      <c r="E853" s="45" t="s">
        <v>80</v>
      </c>
      <c r="F853" s="45" t="s">
        <v>96</v>
      </c>
    </row>
    <row r="854" spans="1:6" x14ac:dyDescent="0.3">
      <c r="A854" s="44">
        <v>44066.050896597226</v>
      </c>
      <c r="B854" s="45" t="s">
        <v>54</v>
      </c>
      <c r="C854" s="45">
        <v>35</v>
      </c>
      <c r="D854" s="47">
        <f>VLOOKUP(Добавить18[[#This Row],[Товар]],Итоговая!$G$1:$H$14,2,0)*Добавить18[[#This Row],[количество_единиц_товара]]</f>
        <v>85750</v>
      </c>
      <c r="E854" s="45" t="s">
        <v>81</v>
      </c>
      <c r="F854" s="45" t="s">
        <v>96</v>
      </c>
    </row>
    <row r="855" spans="1:6" x14ac:dyDescent="0.3">
      <c r="A855" s="44">
        <v>44069.69589678241</v>
      </c>
      <c r="B855" s="45" t="s">
        <v>56</v>
      </c>
      <c r="C855" s="45">
        <v>20</v>
      </c>
      <c r="D855" s="47">
        <f>VLOOKUP(Добавить18[[#This Row],[Товар]],Итоговая!$G$1:$H$14,2,0)*Добавить18[[#This Row],[количество_единиц_товара]]</f>
        <v>32000</v>
      </c>
      <c r="E855" s="45" t="s">
        <v>80</v>
      </c>
      <c r="F855" s="45" t="s">
        <v>96</v>
      </c>
    </row>
    <row r="856" spans="1:6" x14ac:dyDescent="0.3">
      <c r="A856" s="44">
        <v>44081.622037407411</v>
      </c>
      <c r="B856" s="45" t="s">
        <v>52</v>
      </c>
      <c r="C856" s="45">
        <v>32</v>
      </c>
      <c r="D856" s="47">
        <f>VLOOKUP(Добавить18[[#This Row],[Товар]],Итоговая!$G$1:$H$14,2,0)*Добавить18[[#This Row],[количество_единиц_товара]]</f>
        <v>21760</v>
      </c>
      <c r="E856" s="45" t="s">
        <v>81</v>
      </c>
      <c r="F856" s="45" t="s">
        <v>96</v>
      </c>
    </row>
    <row r="857" spans="1:6" x14ac:dyDescent="0.3">
      <c r="A857" s="44">
        <v>44102.651064687503</v>
      </c>
      <c r="B857" s="45" t="s">
        <v>53</v>
      </c>
      <c r="C857" s="45">
        <v>36</v>
      </c>
      <c r="D857" s="47">
        <f>VLOOKUP(Добавить18[[#This Row],[Товар]],Итоговая!$G$1:$H$14,2,0)*Добавить18[[#This Row],[количество_единиц_товара]]</f>
        <v>64368</v>
      </c>
      <c r="E857" s="45" t="s">
        <v>81</v>
      </c>
      <c r="F857" s="45" t="s">
        <v>96</v>
      </c>
    </row>
    <row r="858" spans="1:6" x14ac:dyDescent="0.3">
      <c r="A858" s="44">
        <v>44107.136659837961</v>
      </c>
      <c r="B858" s="45" t="s">
        <v>55</v>
      </c>
      <c r="C858" s="45">
        <v>37</v>
      </c>
      <c r="D858" s="47">
        <f>VLOOKUP(Добавить18[[#This Row],[Товар]],Итоговая!$G$1:$H$14,2,0)*Добавить18[[#This Row],[количество_единиц_товара]]</f>
        <v>166500</v>
      </c>
      <c r="E858" s="45" t="s">
        <v>81</v>
      </c>
      <c r="F858" s="45" t="s">
        <v>96</v>
      </c>
    </row>
    <row r="859" spans="1:6" x14ac:dyDescent="0.3">
      <c r="A859" s="44">
        <v>44110.031691747688</v>
      </c>
      <c r="B859" s="45" t="s">
        <v>56</v>
      </c>
      <c r="C859" s="45">
        <v>32</v>
      </c>
      <c r="D859" s="47">
        <f>VLOOKUP(Добавить18[[#This Row],[Товар]],Итоговая!$G$1:$H$14,2,0)*Добавить18[[#This Row],[количество_единиц_товара]]</f>
        <v>51200</v>
      </c>
      <c r="E859" s="45" t="s">
        <v>81</v>
      </c>
      <c r="F859" s="45" t="s">
        <v>96</v>
      </c>
    </row>
    <row r="860" spans="1:6" x14ac:dyDescent="0.3">
      <c r="A860" s="44">
        <v>44112.563576388886</v>
      </c>
      <c r="B860" s="45" t="s">
        <v>54</v>
      </c>
      <c r="C860" s="45">
        <v>17</v>
      </c>
      <c r="D860" s="47">
        <f>VLOOKUP(Добавить18[[#This Row],[Товар]],Итоговая!$G$1:$H$14,2,0)*Добавить18[[#This Row],[количество_единиц_товара]]</f>
        <v>41650</v>
      </c>
      <c r="E860" s="45" t="s">
        <v>81</v>
      </c>
      <c r="F860" s="45" t="s">
        <v>96</v>
      </c>
    </row>
    <row r="861" spans="1:6" x14ac:dyDescent="0.3">
      <c r="A861" s="44">
        <v>44113.335890335649</v>
      </c>
      <c r="B861" s="45" t="s">
        <v>56</v>
      </c>
      <c r="C861" s="45">
        <v>25</v>
      </c>
      <c r="D861" s="47">
        <f>VLOOKUP(Добавить18[[#This Row],[Товар]],Итоговая!$G$1:$H$14,2,0)*Добавить18[[#This Row],[количество_единиц_товара]]</f>
        <v>40000</v>
      </c>
      <c r="E861" s="45" t="s">
        <v>81</v>
      </c>
      <c r="F861" s="45" t="s">
        <v>96</v>
      </c>
    </row>
    <row r="862" spans="1:6" x14ac:dyDescent="0.3">
      <c r="A862" s="44">
        <v>44117.34589892361</v>
      </c>
      <c r="B862" s="45" t="s">
        <v>50</v>
      </c>
      <c r="C862" s="45">
        <v>24</v>
      </c>
      <c r="D862" s="47">
        <f>VLOOKUP(Добавить18[[#This Row],[Товар]],Итоговая!$G$1:$H$14,2,0)*Добавить18[[#This Row],[количество_единиц_товара]]</f>
        <v>52800</v>
      </c>
      <c r="E862" s="45" t="s">
        <v>81</v>
      </c>
      <c r="F862" s="45" t="s">
        <v>96</v>
      </c>
    </row>
    <row r="863" spans="1:6" x14ac:dyDescent="0.3">
      <c r="A863" s="44">
        <v>44126.563184953702</v>
      </c>
      <c r="B863" s="45" t="s">
        <v>55</v>
      </c>
      <c r="C863" s="45">
        <v>15</v>
      </c>
      <c r="D863" s="47">
        <f>VLOOKUP(Добавить18[[#This Row],[Товар]],Итоговая!$G$1:$H$14,2,0)*Добавить18[[#This Row],[количество_единиц_товара]]</f>
        <v>67500</v>
      </c>
      <c r="E863" s="45" t="s">
        <v>81</v>
      </c>
      <c r="F863" s="45" t="s">
        <v>96</v>
      </c>
    </row>
    <row r="864" spans="1:6" x14ac:dyDescent="0.3">
      <c r="A864" s="44">
        <v>44137.662696608793</v>
      </c>
      <c r="B864" s="45" t="s">
        <v>61</v>
      </c>
      <c r="C864" s="45">
        <v>25</v>
      </c>
      <c r="D864" s="47">
        <f>VLOOKUP(Добавить18[[#This Row],[Товар]],Итоговая!$G$1:$H$14,2,0)*Добавить18[[#This Row],[количество_единиц_товара]]</f>
        <v>86750</v>
      </c>
      <c r="E864" s="45" t="s">
        <v>81</v>
      </c>
      <c r="F864" s="45" t="s">
        <v>96</v>
      </c>
    </row>
    <row r="865" spans="1:6" x14ac:dyDescent="0.3">
      <c r="A865" s="44">
        <v>44148.313808310188</v>
      </c>
      <c r="B865" s="45" t="s">
        <v>56</v>
      </c>
      <c r="C865" s="45">
        <v>11</v>
      </c>
      <c r="D865" s="47">
        <f>VLOOKUP(Добавить18[[#This Row],[Товар]],Итоговая!$G$1:$H$14,2,0)*Добавить18[[#This Row],[количество_единиц_товара]]</f>
        <v>17600</v>
      </c>
      <c r="E865" s="45" t="s">
        <v>81</v>
      </c>
      <c r="F865" s="45" t="s">
        <v>96</v>
      </c>
    </row>
    <row r="866" spans="1:6" x14ac:dyDescent="0.3">
      <c r="A866" s="44">
        <v>44180.928446041667</v>
      </c>
      <c r="B866" s="45" t="s">
        <v>56</v>
      </c>
      <c r="C866" s="45">
        <v>37</v>
      </c>
      <c r="D866" s="47">
        <f>VLOOKUP(Добавить18[[#This Row],[Товар]],Итоговая!$G$1:$H$14,2,0)*Добавить18[[#This Row],[количество_единиц_товара]]</f>
        <v>59200</v>
      </c>
      <c r="E866" s="45" t="s">
        <v>80</v>
      </c>
      <c r="F866" s="45" t="s">
        <v>96</v>
      </c>
    </row>
    <row r="867" spans="1:6" x14ac:dyDescent="0.3">
      <c r="A867" s="44">
        <v>44194.498688912034</v>
      </c>
      <c r="B867" s="45" t="s">
        <v>59</v>
      </c>
      <c r="C867" s="45">
        <v>12</v>
      </c>
      <c r="D867" s="47">
        <f>VLOOKUP(Добавить18[[#This Row],[Товар]],Итоговая!$G$1:$H$14,2,0)*Добавить18[[#This Row],[количество_единиц_товара]]</f>
        <v>24000</v>
      </c>
      <c r="E867" s="45" t="s">
        <v>79</v>
      </c>
      <c r="F867" s="45" t="s">
        <v>96</v>
      </c>
    </row>
    <row r="868" spans="1:6" x14ac:dyDescent="0.3">
      <c r="A868" s="44">
        <v>44217.541468668984</v>
      </c>
      <c r="B868" s="45" t="s">
        <v>51</v>
      </c>
      <c r="C868" s="45">
        <v>28</v>
      </c>
      <c r="D868" s="47">
        <f>VLOOKUP(Добавить18[[#This Row],[Товар]],Итоговая!$G$1:$H$14,2,0)*Добавить18[[#This Row],[количество_единиц_товара]]</f>
        <v>71680</v>
      </c>
      <c r="E868" s="45" t="s">
        <v>80</v>
      </c>
      <c r="F868" s="45" t="s">
        <v>96</v>
      </c>
    </row>
    <row r="869" spans="1:6" x14ac:dyDescent="0.3">
      <c r="A869" s="44">
        <v>44229.541586064814</v>
      </c>
      <c r="B869" s="45" t="s">
        <v>49</v>
      </c>
      <c r="C869" s="45">
        <v>16</v>
      </c>
      <c r="D869" s="47">
        <f>VLOOKUP(Добавить18[[#This Row],[Товар]],Итоговая!$G$1:$H$14,2,0)*Добавить18[[#This Row],[количество_единиц_товара]]</f>
        <v>49600</v>
      </c>
      <c r="E869" s="45" t="s">
        <v>79</v>
      </c>
      <c r="F869" s="45" t="s">
        <v>96</v>
      </c>
    </row>
    <row r="870" spans="1:6" x14ac:dyDescent="0.3">
      <c r="A870" s="44">
        <v>44232.450841655096</v>
      </c>
      <c r="B870" s="45" t="s">
        <v>58</v>
      </c>
      <c r="C870" s="45">
        <v>15</v>
      </c>
      <c r="D870" s="47">
        <f>VLOOKUP(Добавить18[[#This Row],[Товар]],Итоговая!$G$1:$H$14,2,0)*Добавить18[[#This Row],[количество_единиц_товара]]</f>
        <v>66825</v>
      </c>
      <c r="E870" s="45" t="s">
        <v>80</v>
      </c>
      <c r="F870" s="45" t="s">
        <v>96</v>
      </c>
    </row>
    <row r="871" spans="1:6" x14ac:dyDescent="0.3">
      <c r="A871" s="44">
        <v>44237.686062280096</v>
      </c>
      <c r="B871" s="45" t="s">
        <v>59</v>
      </c>
      <c r="C871" s="45">
        <v>38</v>
      </c>
      <c r="D871" s="47">
        <f>VLOOKUP(Добавить18[[#This Row],[Товар]],Итоговая!$G$1:$H$14,2,0)*Добавить18[[#This Row],[количество_единиц_товара]]</f>
        <v>76000</v>
      </c>
      <c r="E871" s="45" t="s">
        <v>79</v>
      </c>
      <c r="F871" s="45" t="s">
        <v>96</v>
      </c>
    </row>
    <row r="872" spans="1:6" x14ac:dyDescent="0.3">
      <c r="A872" s="44">
        <v>44252.026962557873</v>
      </c>
      <c r="B872" s="45" t="s">
        <v>53</v>
      </c>
      <c r="C872" s="45">
        <v>18</v>
      </c>
      <c r="D872" s="47">
        <f>VLOOKUP(Добавить18[[#This Row],[Товар]],Итоговая!$G$1:$H$14,2,0)*Добавить18[[#This Row],[количество_единиц_товара]]</f>
        <v>32184</v>
      </c>
      <c r="E872" s="45" t="s">
        <v>80</v>
      </c>
      <c r="F872" s="45" t="s">
        <v>96</v>
      </c>
    </row>
    <row r="873" spans="1:6" x14ac:dyDescent="0.3">
      <c r="A873" s="44">
        <v>44260.335488888886</v>
      </c>
      <c r="B873" s="45" t="s">
        <v>55</v>
      </c>
      <c r="C873" s="45">
        <v>14</v>
      </c>
      <c r="D873" s="47">
        <f>VLOOKUP(Добавить18[[#This Row],[Товар]],Итоговая!$G$1:$H$14,2,0)*Добавить18[[#This Row],[количество_единиц_товара]]</f>
        <v>63000</v>
      </c>
      <c r="E873" s="45" t="s">
        <v>79</v>
      </c>
      <c r="F873" s="45" t="s">
        <v>96</v>
      </c>
    </row>
    <row r="874" spans="1:6" x14ac:dyDescent="0.3">
      <c r="A874" s="44">
        <v>44264.711459907405</v>
      </c>
      <c r="B874" s="45" t="s">
        <v>49</v>
      </c>
      <c r="C874" s="45">
        <v>11</v>
      </c>
      <c r="D874" s="47">
        <f>VLOOKUP(Добавить18[[#This Row],[Товар]],Итоговая!$G$1:$H$14,2,0)*Добавить18[[#This Row],[количество_единиц_товара]]</f>
        <v>34100</v>
      </c>
      <c r="E874" s="45" t="s">
        <v>80</v>
      </c>
      <c r="F874" s="45" t="s">
        <v>96</v>
      </c>
    </row>
    <row r="875" spans="1:6" x14ac:dyDescent="0.3">
      <c r="A875" s="44">
        <v>44265.536294930556</v>
      </c>
      <c r="B875" s="45" t="s">
        <v>57</v>
      </c>
      <c r="C875" s="45">
        <v>14</v>
      </c>
      <c r="D875" s="47">
        <f>VLOOKUP(Добавить18[[#This Row],[Товар]],Итоговая!$G$1:$H$14,2,0)*Добавить18[[#This Row],[количество_единиц_товара]]</f>
        <v>53144</v>
      </c>
      <c r="E875" s="45" t="s">
        <v>79</v>
      </c>
      <c r="F875" s="45" t="s">
        <v>96</v>
      </c>
    </row>
    <row r="876" spans="1:6" x14ac:dyDescent="0.3">
      <c r="A876" s="44">
        <v>44271.688110162038</v>
      </c>
      <c r="B876" s="45" t="s">
        <v>60</v>
      </c>
      <c r="C876" s="45">
        <v>23</v>
      </c>
      <c r="D876" s="47">
        <f>VLOOKUP(Добавить18[[#This Row],[Товар]],Итоговая!$G$1:$H$14,2,0)*Добавить18[[#This Row],[количество_единиц_товара]]</f>
        <v>133147</v>
      </c>
      <c r="E876" s="45" t="s">
        <v>80</v>
      </c>
      <c r="F876" s="45" t="s">
        <v>96</v>
      </c>
    </row>
    <row r="877" spans="1:6" x14ac:dyDescent="0.3">
      <c r="A877" s="44">
        <v>44274.19540099537</v>
      </c>
      <c r="B877" s="45" t="s">
        <v>54</v>
      </c>
      <c r="C877" s="45">
        <v>12</v>
      </c>
      <c r="D877" s="47">
        <f>VLOOKUP(Добавить18[[#This Row],[Товар]],Итоговая!$G$1:$H$14,2,0)*Добавить18[[#This Row],[количество_единиц_товара]]</f>
        <v>29400</v>
      </c>
      <c r="E877" s="45" t="s">
        <v>81</v>
      </c>
      <c r="F877" s="45" t="s">
        <v>96</v>
      </c>
    </row>
    <row r="878" spans="1:6" x14ac:dyDescent="0.3">
      <c r="A878" s="44">
        <v>44275.302086516203</v>
      </c>
      <c r="B878" s="45" t="s">
        <v>52</v>
      </c>
      <c r="C878" s="45">
        <v>24</v>
      </c>
      <c r="D878" s="47">
        <f>VLOOKUP(Добавить18[[#This Row],[Товар]],Итоговая!$G$1:$H$14,2,0)*Добавить18[[#This Row],[количество_единиц_товара]]</f>
        <v>16320</v>
      </c>
      <c r="E878" s="45" t="s">
        <v>80</v>
      </c>
      <c r="F878" s="45" t="s">
        <v>96</v>
      </c>
    </row>
    <row r="879" spans="1:6" x14ac:dyDescent="0.3">
      <c r="A879" s="44">
        <v>44283.144410104163</v>
      </c>
      <c r="B879" s="45" t="s">
        <v>49</v>
      </c>
      <c r="C879" s="45">
        <v>36</v>
      </c>
      <c r="D879" s="47">
        <f>VLOOKUP(Добавить18[[#This Row],[Товар]],Итоговая!$G$1:$H$14,2,0)*Добавить18[[#This Row],[количество_единиц_товара]]</f>
        <v>111600</v>
      </c>
      <c r="E879" s="45" t="s">
        <v>81</v>
      </c>
      <c r="F879" s="45" t="s">
        <v>96</v>
      </c>
    </row>
    <row r="880" spans="1:6" x14ac:dyDescent="0.3">
      <c r="A880" s="44">
        <v>44286.319593379631</v>
      </c>
      <c r="B880" s="45" t="s">
        <v>56</v>
      </c>
      <c r="C880" s="45">
        <v>23</v>
      </c>
      <c r="D880" s="47">
        <f>VLOOKUP(Добавить18[[#This Row],[Товар]],Итоговая!$G$1:$H$14,2,0)*Добавить18[[#This Row],[количество_единиц_товара]]</f>
        <v>36800</v>
      </c>
      <c r="E880" s="45" t="s">
        <v>80</v>
      </c>
      <c r="F880" s="45" t="s">
        <v>96</v>
      </c>
    </row>
    <row r="881" spans="1:6" x14ac:dyDescent="0.3">
      <c r="A881" s="44">
        <v>44292.704583541665</v>
      </c>
      <c r="B881" s="45" t="s">
        <v>50</v>
      </c>
      <c r="C881" s="45">
        <v>36</v>
      </c>
      <c r="D881" s="47">
        <f>VLOOKUP(Добавить18[[#This Row],[Товар]],Итоговая!$G$1:$H$14,2,0)*Добавить18[[#This Row],[количество_единиц_товара]]</f>
        <v>79200</v>
      </c>
      <c r="E881" s="45" t="s">
        <v>81</v>
      </c>
      <c r="F881" s="45" t="s">
        <v>96</v>
      </c>
    </row>
    <row r="882" spans="1:6" x14ac:dyDescent="0.3">
      <c r="A882" s="44">
        <v>44323.077586238425</v>
      </c>
      <c r="B882" s="45" t="s">
        <v>51</v>
      </c>
      <c r="C882" s="45">
        <v>24</v>
      </c>
      <c r="D882" s="47">
        <f>VLOOKUP(Добавить18[[#This Row],[Товар]],Итоговая!$G$1:$H$14,2,0)*Добавить18[[#This Row],[количество_единиц_товара]]</f>
        <v>61440</v>
      </c>
      <c r="E882" s="45" t="s">
        <v>80</v>
      </c>
      <c r="F882" s="45" t="s">
        <v>96</v>
      </c>
    </row>
    <row r="883" spans="1:6" x14ac:dyDescent="0.3">
      <c r="A883" s="44">
        <v>44330.444388958334</v>
      </c>
      <c r="B883" s="45" t="s">
        <v>61</v>
      </c>
      <c r="C883" s="45">
        <v>32</v>
      </c>
      <c r="D883" s="47">
        <f>VLOOKUP(Добавить18[[#This Row],[Товар]],Итоговая!$G$1:$H$14,2,0)*Добавить18[[#This Row],[количество_единиц_товара]]</f>
        <v>111040</v>
      </c>
      <c r="E883" s="45" t="s">
        <v>81</v>
      </c>
      <c r="F883" s="45" t="s">
        <v>96</v>
      </c>
    </row>
    <row r="884" spans="1:6" x14ac:dyDescent="0.3">
      <c r="A884" s="44">
        <v>44347.159998587966</v>
      </c>
      <c r="B884" s="45" t="s">
        <v>58</v>
      </c>
      <c r="C884" s="45">
        <v>30</v>
      </c>
      <c r="D884" s="47">
        <f>VLOOKUP(Добавить18[[#This Row],[Товар]],Итоговая!$G$1:$H$14,2,0)*Добавить18[[#This Row],[количество_единиц_товара]]</f>
        <v>133650</v>
      </c>
      <c r="E884" s="45" t="s">
        <v>80</v>
      </c>
      <c r="F884" s="45" t="s">
        <v>96</v>
      </c>
    </row>
    <row r="885" spans="1:6" x14ac:dyDescent="0.3">
      <c r="A885" s="44">
        <v>44354.996936469906</v>
      </c>
      <c r="B885" s="45" t="s">
        <v>52</v>
      </c>
      <c r="C885" s="45">
        <v>40</v>
      </c>
      <c r="D885" s="47">
        <f>VLOOKUP(Добавить18[[#This Row],[Товар]],Итоговая!$G$1:$H$14,2,0)*Добавить18[[#This Row],[количество_единиц_товара]]</f>
        <v>27200</v>
      </c>
      <c r="E885" s="45" t="s">
        <v>81</v>
      </c>
      <c r="F885" s="45" t="s">
        <v>96</v>
      </c>
    </row>
    <row r="886" spans="1:6" x14ac:dyDescent="0.3">
      <c r="A886" s="44">
        <v>44360.773911620374</v>
      </c>
      <c r="B886" s="45" t="s">
        <v>60</v>
      </c>
      <c r="C886" s="45">
        <v>21</v>
      </c>
      <c r="D886" s="47">
        <f>VLOOKUP(Добавить18[[#This Row],[Товар]],Итоговая!$G$1:$H$14,2,0)*Добавить18[[#This Row],[количество_единиц_товара]]</f>
        <v>121569</v>
      </c>
      <c r="E886" s="45" t="s">
        <v>80</v>
      </c>
      <c r="F886" s="45" t="s">
        <v>96</v>
      </c>
    </row>
    <row r="887" spans="1:6" x14ac:dyDescent="0.3">
      <c r="A887" s="44">
        <v>44363.436039594904</v>
      </c>
      <c r="B887" s="45" t="s">
        <v>59</v>
      </c>
      <c r="C887" s="45">
        <v>28</v>
      </c>
      <c r="D887" s="47">
        <f>VLOOKUP(Добавить18[[#This Row],[Товар]],Итоговая!$G$1:$H$14,2,0)*Добавить18[[#This Row],[количество_единиц_товара]]</f>
        <v>56000</v>
      </c>
      <c r="E887" s="45" t="s">
        <v>79</v>
      </c>
      <c r="F887" s="45" t="s">
        <v>96</v>
      </c>
    </row>
    <row r="888" spans="1:6" x14ac:dyDescent="0.3">
      <c r="A888" s="44">
        <v>44372.053339675927</v>
      </c>
      <c r="B888" s="45" t="s">
        <v>61</v>
      </c>
      <c r="C888" s="45">
        <v>35</v>
      </c>
      <c r="D888" s="47">
        <f>VLOOKUP(Добавить18[[#This Row],[Товар]],Итоговая!$G$1:$H$14,2,0)*Добавить18[[#This Row],[количество_единиц_товара]]</f>
        <v>121450</v>
      </c>
      <c r="E888" s="45" t="s">
        <v>79</v>
      </c>
      <c r="F888" s="45" t="s">
        <v>96</v>
      </c>
    </row>
    <row r="889" spans="1:6" x14ac:dyDescent="0.3">
      <c r="A889" s="44">
        <v>44373.710871863426</v>
      </c>
      <c r="B889" s="45" t="s">
        <v>52</v>
      </c>
      <c r="C889" s="45">
        <v>15</v>
      </c>
      <c r="D889" s="47">
        <f>VLOOKUP(Добавить18[[#This Row],[Товар]],Итоговая!$G$1:$H$14,2,0)*Добавить18[[#This Row],[количество_единиц_товара]]</f>
        <v>10200</v>
      </c>
      <c r="E889" s="45" t="s">
        <v>79</v>
      </c>
      <c r="F889" s="45" t="s">
        <v>96</v>
      </c>
    </row>
    <row r="890" spans="1:6" x14ac:dyDescent="0.3">
      <c r="A890" s="44">
        <v>44378.20328494213</v>
      </c>
      <c r="B890" s="45" t="s">
        <v>60</v>
      </c>
      <c r="C890" s="45">
        <v>16</v>
      </c>
      <c r="D890" s="47">
        <f>VLOOKUP(Добавить18[[#This Row],[Товар]],Итоговая!$G$1:$H$14,2,0)*Добавить18[[#This Row],[количество_единиц_товара]]</f>
        <v>92624</v>
      </c>
      <c r="E890" s="45" t="s">
        <v>79</v>
      </c>
      <c r="F890" s="45" t="s">
        <v>96</v>
      </c>
    </row>
    <row r="891" spans="1:6" x14ac:dyDescent="0.3">
      <c r="A891" s="44">
        <v>44387.591846608797</v>
      </c>
      <c r="B891" s="45" t="s">
        <v>60</v>
      </c>
      <c r="C891" s="45">
        <v>34</v>
      </c>
      <c r="D891" s="47">
        <f>VLOOKUP(Добавить18[[#This Row],[Товар]],Итоговая!$G$1:$H$14,2,0)*Добавить18[[#This Row],[количество_единиц_товара]]</f>
        <v>196826</v>
      </c>
      <c r="E891" s="45" t="s">
        <v>79</v>
      </c>
      <c r="F891" s="45" t="s">
        <v>96</v>
      </c>
    </row>
    <row r="892" spans="1:6" x14ac:dyDescent="0.3">
      <c r="A892" s="44">
        <v>44391.01964056713</v>
      </c>
      <c r="B892" s="45" t="s">
        <v>52</v>
      </c>
      <c r="C892" s="45">
        <v>21</v>
      </c>
      <c r="D892" s="47">
        <f>VLOOKUP(Добавить18[[#This Row],[Товар]],Итоговая!$G$1:$H$14,2,0)*Добавить18[[#This Row],[количество_единиц_товара]]</f>
        <v>14280</v>
      </c>
      <c r="E892" s="45" t="s">
        <v>81</v>
      </c>
      <c r="F892" s="45" t="s">
        <v>96</v>
      </c>
    </row>
    <row r="893" spans="1:6" x14ac:dyDescent="0.3">
      <c r="A893" s="44">
        <v>44426.349735925927</v>
      </c>
      <c r="B893" s="45" t="s">
        <v>49</v>
      </c>
      <c r="C893" s="45">
        <v>21</v>
      </c>
      <c r="D893" s="47">
        <f>VLOOKUP(Добавить18[[#This Row],[Товар]],Итоговая!$G$1:$H$14,2,0)*Добавить18[[#This Row],[количество_единиц_товара]]</f>
        <v>65100</v>
      </c>
      <c r="E893" s="45" t="s">
        <v>80</v>
      </c>
      <c r="F893" s="45" t="s">
        <v>96</v>
      </c>
    </row>
    <row r="894" spans="1:6" x14ac:dyDescent="0.3">
      <c r="A894" s="44">
        <v>44429.252215671295</v>
      </c>
      <c r="B894" s="45" t="s">
        <v>55</v>
      </c>
      <c r="C894" s="45">
        <v>38</v>
      </c>
      <c r="D894" s="47">
        <f>VLOOKUP(Добавить18[[#This Row],[Товар]],Итоговая!$G$1:$H$14,2,0)*Добавить18[[#This Row],[количество_единиц_товара]]</f>
        <v>171000</v>
      </c>
      <c r="E894" s="45" t="s">
        <v>79</v>
      </c>
      <c r="F894" s="45" t="s">
        <v>96</v>
      </c>
    </row>
    <row r="895" spans="1:6" x14ac:dyDescent="0.3">
      <c r="A895" s="44">
        <v>44443.450088611113</v>
      </c>
      <c r="B895" s="45" t="s">
        <v>55</v>
      </c>
      <c r="C895" s="45">
        <v>18</v>
      </c>
      <c r="D895" s="47">
        <f>VLOOKUP(Добавить18[[#This Row],[Товар]],Итоговая!$G$1:$H$14,2,0)*Добавить18[[#This Row],[количество_единиц_товара]]</f>
        <v>81000</v>
      </c>
      <c r="E895" s="45" t="s">
        <v>81</v>
      </c>
      <c r="F895" s="45" t="s">
        <v>96</v>
      </c>
    </row>
    <row r="896" spans="1:6" x14ac:dyDescent="0.3">
      <c r="A896" s="44">
        <v>44452.63678458333</v>
      </c>
      <c r="B896" s="45" t="s">
        <v>56</v>
      </c>
      <c r="C896" s="45">
        <v>24</v>
      </c>
      <c r="D896" s="47">
        <f>VLOOKUP(Добавить18[[#This Row],[Товар]],Итоговая!$G$1:$H$14,2,0)*Добавить18[[#This Row],[количество_единиц_товара]]</f>
        <v>38400</v>
      </c>
      <c r="E896" s="45" t="s">
        <v>80</v>
      </c>
      <c r="F896" s="45" t="s">
        <v>96</v>
      </c>
    </row>
    <row r="897" spans="1:6" x14ac:dyDescent="0.3">
      <c r="A897" s="44">
        <v>44460.272463240741</v>
      </c>
      <c r="B897" s="45" t="s">
        <v>50</v>
      </c>
      <c r="C897" s="45">
        <v>29</v>
      </c>
      <c r="D897" s="47">
        <f>VLOOKUP(Добавить18[[#This Row],[Товар]],Итоговая!$G$1:$H$14,2,0)*Добавить18[[#This Row],[количество_единиц_товара]]</f>
        <v>63800</v>
      </c>
      <c r="E897" s="45" t="s">
        <v>79</v>
      </c>
      <c r="F897" s="45" t="s">
        <v>96</v>
      </c>
    </row>
    <row r="898" spans="1:6" x14ac:dyDescent="0.3">
      <c r="A898" s="44">
        <v>44462.423882731484</v>
      </c>
      <c r="B898" s="45" t="s">
        <v>56</v>
      </c>
      <c r="C898" s="45">
        <v>36</v>
      </c>
      <c r="D898" s="47">
        <f>VLOOKUP(Добавить18[[#This Row],[Товар]],Итоговая!$G$1:$H$14,2,0)*Добавить18[[#This Row],[количество_единиц_товара]]</f>
        <v>57600</v>
      </c>
      <c r="E898" s="45" t="s">
        <v>81</v>
      </c>
      <c r="F898" s="45" t="s">
        <v>96</v>
      </c>
    </row>
    <row r="899" spans="1:6" x14ac:dyDescent="0.3">
      <c r="A899" s="44">
        <v>44465.913613750003</v>
      </c>
      <c r="B899" s="45" t="s">
        <v>52</v>
      </c>
      <c r="C899" s="45">
        <v>15</v>
      </c>
      <c r="D899" s="47">
        <f>VLOOKUP(Добавить18[[#This Row],[Товар]],Итоговая!$G$1:$H$14,2,0)*Добавить18[[#This Row],[количество_единиц_товара]]</f>
        <v>10200</v>
      </c>
      <c r="E899" s="45" t="s">
        <v>80</v>
      </c>
      <c r="F899" s="45" t="s">
        <v>96</v>
      </c>
    </row>
    <row r="900" spans="1:6" x14ac:dyDescent="0.3">
      <c r="A900" s="44">
        <v>44469.988423437499</v>
      </c>
      <c r="B900" s="45" t="s">
        <v>51</v>
      </c>
      <c r="C900" s="45">
        <v>22</v>
      </c>
      <c r="D900" s="47">
        <f>VLOOKUP(Добавить18[[#This Row],[Товар]],Итоговая!$G$1:$H$14,2,0)*Добавить18[[#This Row],[количество_единиц_товара]]</f>
        <v>56320</v>
      </c>
      <c r="E900" s="45" t="s">
        <v>79</v>
      </c>
      <c r="F900" s="45" t="s">
        <v>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74C7-3694-4955-8358-C2426D7C7E73}">
  <dimension ref="A1:E232"/>
  <sheetViews>
    <sheetView workbookViewId="0">
      <selection activeCell="D34" sqref="D34"/>
    </sheetView>
  </sheetViews>
  <sheetFormatPr defaultRowHeight="14.4" x14ac:dyDescent="0.3"/>
  <cols>
    <col min="1" max="1" width="15.33203125" bestFit="1" customWidth="1"/>
    <col min="2" max="2" width="27.6640625" bestFit="1" customWidth="1"/>
    <col min="3" max="3" width="28.33203125" bestFit="1" customWidth="1"/>
    <col min="4" max="4" width="11" bestFit="1" customWidth="1"/>
    <col min="5" max="5" width="17.5546875" bestFit="1" customWidth="1"/>
  </cols>
  <sheetData>
    <row r="1" spans="1:5" x14ac:dyDescent="0.3">
      <c r="A1" t="s">
        <v>62</v>
      </c>
      <c r="B1" t="s">
        <v>47</v>
      </c>
      <c r="C1" t="s">
        <v>63</v>
      </c>
      <c r="D1" t="s">
        <v>64</v>
      </c>
      <c r="E1" t="s">
        <v>65</v>
      </c>
    </row>
    <row r="2" spans="1:5" x14ac:dyDescent="0.3">
      <c r="A2" s="40">
        <v>42382.219606481478</v>
      </c>
      <c r="B2" t="s">
        <v>52</v>
      </c>
      <c r="C2">
        <v>13</v>
      </c>
      <c r="E2" t="s">
        <v>66</v>
      </c>
    </row>
    <row r="3" spans="1:5" x14ac:dyDescent="0.3">
      <c r="A3" s="40">
        <v>42392.014138495368</v>
      </c>
      <c r="B3" t="s">
        <v>58</v>
      </c>
      <c r="C3">
        <v>14</v>
      </c>
      <c r="E3" t="s">
        <v>67</v>
      </c>
    </row>
    <row r="4" spans="1:5" x14ac:dyDescent="0.3">
      <c r="A4" s="40">
        <v>42394.635415914352</v>
      </c>
      <c r="B4" t="s">
        <v>51</v>
      </c>
      <c r="C4">
        <v>38</v>
      </c>
      <c r="E4" t="s">
        <v>66</v>
      </c>
    </row>
    <row r="5" spans="1:5" x14ac:dyDescent="0.3">
      <c r="A5" s="40">
        <v>42396.052608437501</v>
      </c>
      <c r="B5" t="s">
        <v>58</v>
      </c>
      <c r="C5">
        <v>35</v>
      </c>
      <c r="E5" t="s">
        <v>66</v>
      </c>
    </row>
    <row r="6" spans="1:5" x14ac:dyDescent="0.3">
      <c r="A6" s="40">
        <v>42403.713688298609</v>
      </c>
      <c r="B6" t="s">
        <v>53</v>
      </c>
      <c r="C6">
        <v>29</v>
      </c>
      <c r="E6" t="s">
        <v>68</v>
      </c>
    </row>
    <row r="7" spans="1:5" x14ac:dyDescent="0.3">
      <c r="A7" s="40">
        <v>42407.947559525463</v>
      </c>
      <c r="B7" t="s">
        <v>51</v>
      </c>
      <c r="C7">
        <v>26</v>
      </c>
      <c r="E7" t="s">
        <v>68</v>
      </c>
    </row>
    <row r="8" spans="1:5" x14ac:dyDescent="0.3">
      <c r="A8" s="40">
        <v>42422.929697361113</v>
      </c>
      <c r="B8" t="s">
        <v>52</v>
      </c>
      <c r="C8">
        <v>23</v>
      </c>
      <c r="E8" t="s">
        <v>68</v>
      </c>
    </row>
    <row r="9" spans="1:5" x14ac:dyDescent="0.3">
      <c r="A9" s="40">
        <v>42430.915009930555</v>
      </c>
      <c r="B9" t="s">
        <v>56</v>
      </c>
      <c r="C9">
        <v>22</v>
      </c>
      <c r="E9" t="s">
        <v>68</v>
      </c>
    </row>
    <row r="10" spans="1:5" x14ac:dyDescent="0.3">
      <c r="A10" s="40">
        <v>42439.666330925924</v>
      </c>
      <c r="B10" t="s">
        <v>49</v>
      </c>
      <c r="C10">
        <v>29</v>
      </c>
      <c r="E10" t="s">
        <v>68</v>
      </c>
    </row>
    <row r="11" spans="1:5" x14ac:dyDescent="0.3">
      <c r="A11" s="40">
        <v>42467.98577175926</v>
      </c>
      <c r="B11" t="s">
        <v>56</v>
      </c>
      <c r="C11">
        <v>10</v>
      </c>
      <c r="E11" t="s">
        <v>68</v>
      </c>
    </row>
    <row r="12" spans="1:5" x14ac:dyDescent="0.3">
      <c r="A12" s="40">
        <v>42475.270452326389</v>
      </c>
      <c r="B12" t="s">
        <v>52</v>
      </c>
      <c r="C12">
        <v>39</v>
      </c>
      <c r="E12" t="s">
        <v>68</v>
      </c>
    </row>
    <row r="13" spans="1:5" x14ac:dyDescent="0.3">
      <c r="A13" s="40">
        <v>42479.659632986113</v>
      </c>
      <c r="B13" t="s">
        <v>52</v>
      </c>
      <c r="C13">
        <v>22</v>
      </c>
      <c r="E13" t="s">
        <v>68</v>
      </c>
    </row>
    <row r="14" spans="1:5" x14ac:dyDescent="0.3">
      <c r="A14" s="40">
        <v>42480.697064537038</v>
      </c>
      <c r="B14" t="s">
        <v>59</v>
      </c>
      <c r="C14">
        <v>14</v>
      </c>
      <c r="E14" t="s">
        <v>66</v>
      </c>
    </row>
    <row r="15" spans="1:5" x14ac:dyDescent="0.3">
      <c r="A15" s="40">
        <v>42483.325269525463</v>
      </c>
      <c r="B15" t="s">
        <v>54</v>
      </c>
      <c r="C15">
        <v>28</v>
      </c>
      <c r="E15" t="s">
        <v>67</v>
      </c>
    </row>
    <row r="16" spans="1:5" x14ac:dyDescent="0.3">
      <c r="A16" s="40">
        <v>42495.657398240743</v>
      </c>
      <c r="B16" t="s">
        <v>49</v>
      </c>
      <c r="C16">
        <v>22</v>
      </c>
      <c r="E16" t="s">
        <v>66</v>
      </c>
    </row>
    <row r="17" spans="1:5" x14ac:dyDescent="0.3">
      <c r="A17" s="40">
        <v>42513.53932895833</v>
      </c>
      <c r="B17" t="s">
        <v>50</v>
      </c>
      <c r="C17">
        <v>22</v>
      </c>
      <c r="E17" t="s">
        <v>66</v>
      </c>
    </row>
    <row r="18" spans="1:5" x14ac:dyDescent="0.3">
      <c r="A18" s="40">
        <v>42524.252401655096</v>
      </c>
      <c r="B18" t="s">
        <v>49</v>
      </c>
      <c r="C18">
        <v>39</v>
      </c>
      <c r="E18" t="s">
        <v>67</v>
      </c>
    </row>
    <row r="19" spans="1:5" x14ac:dyDescent="0.3">
      <c r="A19" s="40">
        <v>42532.015400081022</v>
      </c>
      <c r="B19" t="s">
        <v>61</v>
      </c>
      <c r="C19">
        <v>12</v>
      </c>
      <c r="E19" t="s">
        <v>66</v>
      </c>
    </row>
    <row r="20" spans="1:5" x14ac:dyDescent="0.3">
      <c r="A20" s="40">
        <v>42536.243877986111</v>
      </c>
      <c r="B20" t="s">
        <v>51</v>
      </c>
      <c r="C20">
        <v>16</v>
      </c>
      <c r="E20" t="s">
        <v>66</v>
      </c>
    </row>
    <row r="21" spans="1:5" x14ac:dyDescent="0.3">
      <c r="A21" s="40">
        <v>42540.788159548611</v>
      </c>
      <c r="B21" t="s">
        <v>58</v>
      </c>
      <c r="C21">
        <v>37</v>
      </c>
      <c r="E21" t="s">
        <v>67</v>
      </c>
    </row>
    <row r="22" spans="1:5" x14ac:dyDescent="0.3">
      <c r="A22" s="40">
        <v>42551.354121273151</v>
      </c>
      <c r="B22" t="s">
        <v>54</v>
      </c>
      <c r="C22">
        <v>27</v>
      </c>
      <c r="E22" t="s">
        <v>66</v>
      </c>
    </row>
    <row r="23" spans="1:5" x14ac:dyDescent="0.3">
      <c r="A23" s="40">
        <v>42558.120028425925</v>
      </c>
      <c r="B23" t="s">
        <v>60</v>
      </c>
      <c r="C23">
        <v>36</v>
      </c>
      <c r="E23" t="s">
        <v>66</v>
      </c>
    </row>
    <row r="24" spans="1:5" x14ac:dyDescent="0.3">
      <c r="A24" s="40">
        <v>42558.869814652775</v>
      </c>
      <c r="B24" t="s">
        <v>54</v>
      </c>
      <c r="C24">
        <v>37</v>
      </c>
      <c r="E24" t="s">
        <v>67</v>
      </c>
    </row>
    <row r="25" spans="1:5" x14ac:dyDescent="0.3">
      <c r="A25" s="40">
        <v>42567.748601724539</v>
      </c>
      <c r="B25" t="s">
        <v>60</v>
      </c>
      <c r="C25">
        <v>17</v>
      </c>
      <c r="E25" t="s">
        <v>66</v>
      </c>
    </row>
    <row r="26" spans="1:5" x14ac:dyDescent="0.3">
      <c r="A26" s="40">
        <v>42582.421839918985</v>
      </c>
      <c r="B26" t="s">
        <v>59</v>
      </c>
      <c r="C26">
        <v>39</v>
      </c>
      <c r="E26" t="s">
        <v>66</v>
      </c>
    </row>
    <row r="27" spans="1:5" x14ac:dyDescent="0.3">
      <c r="A27" s="40">
        <v>42593.594756979168</v>
      </c>
      <c r="B27" t="s">
        <v>52</v>
      </c>
      <c r="C27">
        <v>39</v>
      </c>
      <c r="E27" t="s">
        <v>67</v>
      </c>
    </row>
    <row r="28" spans="1:5" x14ac:dyDescent="0.3">
      <c r="A28" s="40">
        <v>42597.367198680557</v>
      </c>
      <c r="B28" t="s">
        <v>59</v>
      </c>
      <c r="C28">
        <v>35</v>
      </c>
      <c r="E28" t="s">
        <v>66</v>
      </c>
    </row>
    <row r="29" spans="1:5" x14ac:dyDescent="0.3">
      <c r="A29" s="40">
        <v>42603.495817210649</v>
      </c>
      <c r="B29" t="s">
        <v>51</v>
      </c>
      <c r="C29">
        <v>27</v>
      </c>
      <c r="E29" t="s">
        <v>66</v>
      </c>
    </row>
    <row r="30" spans="1:5" x14ac:dyDescent="0.3">
      <c r="A30" s="40">
        <v>42614.976731469906</v>
      </c>
      <c r="B30" t="s">
        <v>55</v>
      </c>
      <c r="C30">
        <v>36</v>
      </c>
      <c r="E30" t="s">
        <v>67</v>
      </c>
    </row>
    <row r="31" spans="1:5" x14ac:dyDescent="0.3">
      <c r="A31" s="40">
        <v>42625.594587569445</v>
      </c>
      <c r="B31" t="s">
        <v>57</v>
      </c>
      <c r="C31">
        <v>15</v>
      </c>
      <c r="E31" t="s">
        <v>66</v>
      </c>
    </row>
    <row r="32" spans="1:5" x14ac:dyDescent="0.3">
      <c r="A32" s="40">
        <v>42643.441102268516</v>
      </c>
      <c r="B32" t="s">
        <v>59</v>
      </c>
      <c r="C32">
        <v>35</v>
      </c>
      <c r="E32" t="s">
        <v>66</v>
      </c>
    </row>
    <row r="33" spans="1:5" x14ac:dyDescent="0.3">
      <c r="A33" s="40">
        <v>42647.717206354166</v>
      </c>
      <c r="B33" t="s">
        <v>54</v>
      </c>
      <c r="C33">
        <v>33</v>
      </c>
      <c r="E33" t="s">
        <v>66</v>
      </c>
    </row>
    <row r="34" spans="1:5" x14ac:dyDescent="0.3">
      <c r="A34" s="40">
        <v>42655.923075706021</v>
      </c>
      <c r="B34" t="s">
        <v>58</v>
      </c>
      <c r="C34">
        <v>18</v>
      </c>
      <c r="E34" t="s">
        <v>66</v>
      </c>
    </row>
    <row r="35" spans="1:5" x14ac:dyDescent="0.3">
      <c r="A35" s="40">
        <v>42657.196743078704</v>
      </c>
      <c r="B35" t="s">
        <v>59</v>
      </c>
      <c r="C35">
        <v>26</v>
      </c>
      <c r="E35" t="s">
        <v>68</v>
      </c>
    </row>
    <row r="36" spans="1:5" x14ac:dyDescent="0.3">
      <c r="A36" s="40">
        <v>42663.293189745367</v>
      </c>
      <c r="B36" t="s">
        <v>51</v>
      </c>
      <c r="C36">
        <v>40</v>
      </c>
      <c r="E36" t="s">
        <v>68</v>
      </c>
    </row>
    <row r="37" spans="1:5" x14ac:dyDescent="0.3">
      <c r="A37" s="40">
        <v>42671.163895254627</v>
      </c>
      <c r="B37" t="s">
        <v>58</v>
      </c>
      <c r="C37">
        <v>25</v>
      </c>
      <c r="E37" t="s">
        <v>68</v>
      </c>
    </row>
    <row r="38" spans="1:5" x14ac:dyDescent="0.3">
      <c r="A38" s="40">
        <v>42674.400286990742</v>
      </c>
      <c r="B38" t="s">
        <v>51</v>
      </c>
      <c r="C38">
        <v>16</v>
      </c>
      <c r="E38" t="s">
        <v>66</v>
      </c>
    </row>
    <row r="39" spans="1:5" x14ac:dyDescent="0.3">
      <c r="A39" s="40">
        <v>42687.754551030092</v>
      </c>
      <c r="B39" t="s">
        <v>55</v>
      </c>
      <c r="C39">
        <v>35</v>
      </c>
      <c r="E39" t="s">
        <v>67</v>
      </c>
    </row>
    <row r="40" spans="1:5" x14ac:dyDescent="0.3">
      <c r="A40" s="40">
        <v>42698.369565243054</v>
      </c>
      <c r="B40" t="s">
        <v>58</v>
      </c>
      <c r="C40">
        <v>39</v>
      </c>
      <c r="E40" t="s">
        <v>66</v>
      </c>
    </row>
    <row r="41" spans="1:5" x14ac:dyDescent="0.3">
      <c r="A41" s="40">
        <v>42722.51697827546</v>
      </c>
      <c r="B41" t="s">
        <v>52</v>
      </c>
      <c r="C41">
        <v>30</v>
      </c>
      <c r="E41" t="s">
        <v>66</v>
      </c>
    </row>
    <row r="42" spans="1:5" x14ac:dyDescent="0.3">
      <c r="A42" s="40">
        <v>42725.798662141206</v>
      </c>
      <c r="B42" t="s">
        <v>52</v>
      </c>
      <c r="C42">
        <v>30</v>
      </c>
      <c r="E42" t="s">
        <v>67</v>
      </c>
    </row>
    <row r="43" spans="1:5" x14ac:dyDescent="0.3">
      <c r="A43" s="40">
        <v>42740.126617847221</v>
      </c>
      <c r="B43" t="s">
        <v>59</v>
      </c>
      <c r="C43">
        <v>28</v>
      </c>
      <c r="E43" t="s">
        <v>66</v>
      </c>
    </row>
    <row r="44" spans="1:5" x14ac:dyDescent="0.3">
      <c r="A44" s="40">
        <v>42744.899128067133</v>
      </c>
      <c r="B44" t="s">
        <v>59</v>
      </c>
      <c r="C44">
        <v>35</v>
      </c>
      <c r="E44" t="s">
        <v>66</v>
      </c>
    </row>
    <row r="45" spans="1:5" x14ac:dyDescent="0.3">
      <c r="A45" s="40">
        <v>42748.407116145834</v>
      </c>
      <c r="B45" t="s">
        <v>50</v>
      </c>
      <c r="C45">
        <v>35</v>
      </c>
      <c r="E45" t="s">
        <v>67</v>
      </c>
    </row>
    <row r="46" spans="1:5" x14ac:dyDescent="0.3">
      <c r="A46" s="40">
        <v>42754.536133958332</v>
      </c>
      <c r="B46" t="s">
        <v>52</v>
      </c>
      <c r="C46">
        <v>27</v>
      </c>
      <c r="E46" t="s">
        <v>66</v>
      </c>
    </row>
    <row r="47" spans="1:5" x14ac:dyDescent="0.3">
      <c r="A47" s="40">
        <v>42779.707061620371</v>
      </c>
      <c r="B47" t="s">
        <v>51</v>
      </c>
      <c r="C47">
        <v>21</v>
      </c>
      <c r="E47" t="s">
        <v>66</v>
      </c>
    </row>
    <row r="48" spans="1:5" x14ac:dyDescent="0.3">
      <c r="A48" s="40">
        <v>42783.481084375002</v>
      </c>
      <c r="B48" t="s">
        <v>54</v>
      </c>
      <c r="C48">
        <v>30</v>
      </c>
      <c r="E48" t="s">
        <v>66</v>
      </c>
    </row>
    <row r="49" spans="1:5" x14ac:dyDescent="0.3">
      <c r="A49" s="40">
        <v>42785.60452645833</v>
      </c>
      <c r="B49" t="s">
        <v>58</v>
      </c>
      <c r="C49">
        <v>11</v>
      </c>
      <c r="E49" t="s">
        <v>68</v>
      </c>
    </row>
    <row r="50" spans="1:5" x14ac:dyDescent="0.3">
      <c r="A50" s="40">
        <v>42797.68630415509</v>
      </c>
      <c r="B50" t="s">
        <v>49</v>
      </c>
      <c r="C50">
        <v>11</v>
      </c>
      <c r="E50" t="s">
        <v>68</v>
      </c>
    </row>
    <row r="51" spans="1:5" x14ac:dyDescent="0.3">
      <c r="A51" s="40">
        <v>42815.676426342594</v>
      </c>
      <c r="B51" t="s">
        <v>58</v>
      </c>
      <c r="C51">
        <v>12</v>
      </c>
      <c r="E51" t="s">
        <v>68</v>
      </c>
    </row>
    <row r="52" spans="1:5" x14ac:dyDescent="0.3">
      <c r="A52" s="40">
        <v>42816.996650694447</v>
      </c>
      <c r="B52" t="s">
        <v>51</v>
      </c>
      <c r="C52">
        <v>15</v>
      </c>
      <c r="E52" t="s">
        <v>66</v>
      </c>
    </row>
    <row r="53" spans="1:5" x14ac:dyDescent="0.3">
      <c r="A53" s="40">
        <v>42817.948765682871</v>
      </c>
      <c r="B53" t="s">
        <v>49</v>
      </c>
      <c r="C53">
        <v>17</v>
      </c>
      <c r="E53" t="s">
        <v>67</v>
      </c>
    </row>
    <row r="54" spans="1:5" x14ac:dyDescent="0.3">
      <c r="A54" s="40">
        <v>42827.33654585648</v>
      </c>
      <c r="B54" t="s">
        <v>60</v>
      </c>
      <c r="C54">
        <v>23</v>
      </c>
      <c r="E54" t="s">
        <v>67</v>
      </c>
    </row>
    <row r="55" spans="1:5" x14ac:dyDescent="0.3">
      <c r="A55" s="40">
        <v>42830.805011469907</v>
      </c>
      <c r="B55" t="s">
        <v>55</v>
      </c>
      <c r="C55">
        <v>37</v>
      </c>
      <c r="E55" t="s">
        <v>67</v>
      </c>
    </row>
    <row r="56" spans="1:5" x14ac:dyDescent="0.3">
      <c r="A56" s="40">
        <v>42833.666900150463</v>
      </c>
      <c r="B56" t="s">
        <v>50</v>
      </c>
      <c r="C56">
        <v>33</v>
      </c>
      <c r="E56" t="s">
        <v>67</v>
      </c>
    </row>
    <row r="57" spans="1:5" x14ac:dyDescent="0.3">
      <c r="A57" s="40">
        <v>42838.313077928244</v>
      </c>
      <c r="B57" t="s">
        <v>49</v>
      </c>
      <c r="C57">
        <v>23</v>
      </c>
      <c r="E57" t="s">
        <v>67</v>
      </c>
    </row>
    <row r="58" spans="1:5" x14ac:dyDescent="0.3">
      <c r="A58" s="40">
        <v>42841.780431782405</v>
      </c>
      <c r="B58" t="s">
        <v>54</v>
      </c>
      <c r="C58">
        <v>23</v>
      </c>
      <c r="E58" t="s">
        <v>67</v>
      </c>
    </row>
    <row r="59" spans="1:5" x14ac:dyDescent="0.3">
      <c r="A59" s="40">
        <v>42845.749747743059</v>
      </c>
      <c r="B59" t="s">
        <v>51</v>
      </c>
      <c r="C59">
        <v>11</v>
      </c>
      <c r="E59" t="s">
        <v>67</v>
      </c>
    </row>
    <row r="60" spans="1:5" x14ac:dyDescent="0.3">
      <c r="A60" s="40">
        <v>42846.46802688657</v>
      </c>
      <c r="B60" t="s">
        <v>49</v>
      </c>
      <c r="C60">
        <v>11</v>
      </c>
      <c r="E60" t="s">
        <v>67</v>
      </c>
    </row>
    <row r="61" spans="1:5" x14ac:dyDescent="0.3">
      <c r="A61" s="40">
        <v>42865.513237476851</v>
      </c>
      <c r="B61" t="s">
        <v>59</v>
      </c>
      <c r="C61">
        <v>37</v>
      </c>
      <c r="E61" t="s">
        <v>66</v>
      </c>
    </row>
    <row r="62" spans="1:5" x14ac:dyDescent="0.3">
      <c r="A62" s="40">
        <v>42875.664145972223</v>
      </c>
      <c r="B62" t="s">
        <v>58</v>
      </c>
      <c r="C62">
        <v>22</v>
      </c>
      <c r="E62" t="s">
        <v>66</v>
      </c>
    </row>
    <row r="63" spans="1:5" x14ac:dyDescent="0.3">
      <c r="A63" s="40">
        <v>42879.178582650464</v>
      </c>
      <c r="B63" t="s">
        <v>58</v>
      </c>
      <c r="C63">
        <v>32</v>
      </c>
      <c r="E63" t="s">
        <v>68</v>
      </c>
    </row>
    <row r="64" spans="1:5" x14ac:dyDescent="0.3">
      <c r="A64" s="40">
        <v>42885.422611319445</v>
      </c>
      <c r="B64" t="s">
        <v>51</v>
      </c>
      <c r="C64">
        <v>39</v>
      </c>
      <c r="E64" t="s">
        <v>68</v>
      </c>
    </row>
    <row r="65" spans="1:5" x14ac:dyDescent="0.3">
      <c r="A65" s="40">
        <v>42892.097382789354</v>
      </c>
      <c r="B65" t="s">
        <v>54</v>
      </c>
      <c r="C65">
        <v>13</v>
      </c>
      <c r="E65" t="s">
        <v>68</v>
      </c>
    </row>
    <row r="66" spans="1:5" x14ac:dyDescent="0.3">
      <c r="A66" s="40">
        <v>42894.879523414354</v>
      </c>
      <c r="B66" t="s">
        <v>52</v>
      </c>
      <c r="C66">
        <v>21</v>
      </c>
      <c r="E66" t="s">
        <v>68</v>
      </c>
    </row>
    <row r="67" spans="1:5" x14ac:dyDescent="0.3">
      <c r="A67" s="40">
        <v>42899.296644699076</v>
      </c>
      <c r="B67" t="s">
        <v>49</v>
      </c>
      <c r="C67">
        <v>24</v>
      </c>
      <c r="E67" t="s">
        <v>68</v>
      </c>
    </row>
    <row r="68" spans="1:5" x14ac:dyDescent="0.3">
      <c r="A68" s="40">
        <v>42901.117697499998</v>
      </c>
      <c r="B68" t="s">
        <v>53</v>
      </c>
      <c r="C68">
        <v>13</v>
      </c>
      <c r="E68" t="s">
        <v>66</v>
      </c>
    </row>
    <row r="69" spans="1:5" x14ac:dyDescent="0.3">
      <c r="A69" s="40">
        <v>42906.769554293984</v>
      </c>
      <c r="B69" t="s">
        <v>55</v>
      </c>
      <c r="C69">
        <v>26</v>
      </c>
      <c r="E69" t="s">
        <v>67</v>
      </c>
    </row>
    <row r="70" spans="1:5" x14ac:dyDescent="0.3">
      <c r="A70" s="40">
        <v>42914.247908888887</v>
      </c>
      <c r="B70" t="s">
        <v>51</v>
      </c>
      <c r="C70">
        <v>20</v>
      </c>
      <c r="E70" t="s">
        <v>67</v>
      </c>
    </row>
    <row r="71" spans="1:5" x14ac:dyDescent="0.3">
      <c r="A71" s="40">
        <v>42946.928572141202</v>
      </c>
      <c r="B71" t="s">
        <v>59</v>
      </c>
      <c r="C71">
        <v>28</v>
      </c>
      <c r="E71" t="s">
        <v>66</v>
      </c>
    </row>
    <row r="72" spans="1:5" x14ac:dyDescent="0.3">
      <c r="A72" s="40">
        <v>42963.410889363426</v>
      </c>
      <c r="B72" t="s">
        <v>52</v>
      </c>
      <c r="C72">
        <v>27</v>
      </c>
      <c r="E72" t="s">
        <v>67</v>
      </c>
    </row>
    <row r="73" spans="1:5" x14ac:dyDescent="0.3">
      <c r="A73" s="40">
        <v>42963.83588979167</v>
      </c>
      <c r="B73" t="s">
        <v>59</v>
      </c>
      <c r="C73">
        <v>22</v>
      </c>
      <c r="E73" t="s">
        <v>67</v>
      </c>
    </row>
    <row r="74" spans="1:5" x14ac:dyDescent="0.3">
      <c r="A74" s="40">
        <v>43004.514898587964</v>
      </c>
      <c r="B74" t="s">
        <v>58</v>
      </c>
      <c r="C74">
        <v>33</v>
      </c>
      <c r="E74" t="s">
        <v>66</v>
      </c>
    </row>
    <row r="75" spans="1:5" x14ac:dyDescent="0.3">
      <c r="A75" s="40">
        <v>43019.085691180553</v>
      </c>
      <c r="B75" t="s">
        <v>59</v>
      </c>
      <c r="C75">
        <v>22</v>
      </c>
      <c r="E75" t="s">
        <v>67</v>
      </c>
    </row>
    <row r="76" spans="1:5" x14ac:dyDescent="0.3">
      <c r="A76" s="40">
        <v>43019.387266898149</v>
      </c>
      <c r="B76" t="s">
        <v>57</v>
      </c>
      <c r="C76">
        <v>35</v>
      </c>
      <c r="E76" t="s">
        <v>67</v>
      </c>
    </row>
    <row r="77" spans="1:5" x14ac:dyDescent="0.3">
      <c r="A77" s="40">
        <v>43032.442486493055</v>
      </c>
      <c r="B77" t="s">
        <v>51</v>
      </c>
      <c r="C77">
        <v>27</v>
      </c>
      <c r="E77" t="s">
        <v>68</v>
      </c>
    </row>
    <row r="78" spans="1:5" x14ac:dyDescent="0.3">
      <c r="A78" s="40">
        <v>43033.002971516202</v>
      </c>
      <c r="B78" t="s">
        <v>55</v>
      </c>
      <c r="C78">
        <v>39</v>
      </c>
      <c r="E78" t="s">
        <v>66</v>
      </c>
    </row>
    <row r="79" spans="1:5" x14ac:dyDescent="0.3">
      <c r="A79" s="40">
        <v>43035.931211145835</v>
      </c>
      <c r="B79" t="s">
        <v>52</v>
      </c>
      <c r="C79">
        <v>24</v>
      </c>
      <c r="E79" t="s">
        <v>67</v>
      </c>
    </row>
    <row r="80" spans="1:5" x14ac:dyDescent="0.3">
      <c r="A80" s="40">
        <v>43038.408088449076</v>
      </c>
      <c r="B80" t="s">
        <v>56</v>
      </c>
      <c r="C80">
        <v>33</v>
      </c>
      <c r="E80" t="s">
        <v>68</v>
      </c>
    </row>
    <row r="81" spans="1:5" x14ac:dyDescent="0.3">
      <c r="A81" s="40">
        <v>43050.413220590279</v>
      </c>
      <c r="B81" t="s">
        <v>61</v>
      </c>
      <c r="C81">
        <v>21</v>
      </c>
      <c r="E81" t="s">
        <v>66</v>
      </c>
    </row>
    <row r="82" spans="1:5" x14ac:dyDescent="0.3">
      <c r="A82" s="40">
        <v>43075.740682824071</v>
      </c>
      <c r="B82" t="s">
        <v>54</v>
      </c>
      <c r="C82">
        <v>29</v>
      </c>
      <c r="E82" t="s">
        <v>67</v>
      </c>
    </row>
    <row r="83" spans="1:5" x14ac:dyDescent="0.3">
      <c r="A83" s="40">
        <v>43075.931076018518</v>
      </c>
      <c r="B83" t="s">
        <v>53</v>
      </c>
      <c r="C83">
        <v>16</v>
      </c>
      <c r="E83" t="s">
        <v>68</v>
      </c>
    </row>
    <row r="84" spans="1:5" x14ac:dyDescent="0.3">
      <c r="A84" s="40">
        <v>43093.961267106482</v>
      </c>
      <c r="B84" t="s">
        <v>57</v>
      </c>
      <c r="C84">
        <v>25</v>
      </c>
      <c r="E84" t="s">
        <v>66</v>
      </c>
    </row>
    <row r="85" spans="1:5" x14ac:dyDescent="0.3">
      <c r="A85" s="40">
        <v>43096.755389768521</v>
      </c>
      <c r="B85" t="s">
        <v>51</v>
      </c>
      <c r="C85">
        <v>19</v>
      </c>
      <c r="E85" t="s">
        <v>67</v>
      </c>
    </row>
    <row r="86" spans="1:5" x14ac:dyDescent="0.3">
      <c r="A86" s="40">
        <v>43103.525760902776</v>
      </c>
      <c r="B86" t="s">
        <v>52</v>
      </c>
      <c r="C86">
        <v>15</v>
      </c>
      <c r="E86" t="s">
        <v>68</v>
      </c>
    </row>
    <row r="87" spans="1:5" x14ac:dyDescent="0.3">
      <c r="A87" s="40">
        <v>43112.089372696762</v>
      </c>
      <c r="B87" t="s">
        <v>50</v>
      </c>
      <c r="C87">
        <v>12</v>
      </c>
      <c r="E87" t="s">
        <v>66</v>
      </c>
    </row>
    <row r="88" spans="1:5" x14ac:dyDescent="0.3">
      <c r="A88" s="40">
        <v>43117.441407939812</v>
      </c>
      <c r="B88" t="s">
        <v>56</v>
      </c>
      <c r="C88">
        <v>36</v>
      </c>
      <c r="E88" t="s">
        <v>67</v>
      </c>
    </row>
    <row r="89" spans="1:5" x14ac:dyDescent="0.3">
      <c r="A89" s="40">
        <v>43136.332171238428</v>
      </c>
      <c r="B89" t="s">
        <v>58</v>
      </c>
      <c r="C89">
        <v>22</v>
      </c>
      <c r="E89" t="s">
        <v>67</v>
      </c>
    </row>
    <row r="90" spans="1:5" x14ac:dyDescent="0.3">
      <c r="A90" s="40">
        <v>43145.980495613425</v>
      </c>
      <c r="B90" t="s">
        <v>52</v>
      </c>
      <c r="C90">
        <v>37</v>
      </c>
      <c r="E90" t="s">
        <v>67</v>
      </c>
    </row>
    <row r="91" spans="1:5" x14ac:dyDescent="0.3">
      <c r="A91" s="40">
        <v>43146.198080034723</v>
      </c>
      <c r="B91" t="s">
        <v>49</v>
      </c>
      <c r="C91">
        <v>11</v>
      </c>
      <c r="E91" t="s">
        <v>67</v>
      </c>
    </row>
    <row r="92" spans="1:5" x14ac:dyDescent="0.3">
      <c r="A92" s="40">
        <v>43151.142801111113</v>
      </c>
      <c r="B92" t="s">
        <v>50</v>
      </c>
      <c r="C92">
        <v>18</v>
      </c>
      <c r="E92" t="s">
        <v>67</v>
      </c>
    </row>
    <row r="93" spans="1:5" x14ac:dyDescent="0.3">
      <c r="A93" s="40">
        <v>43163.993305543983</v>
      </c>
      <c r="B93" t="s">
        <v>60</v>
      </c>
      <c r="C93">
        <v>35</v>
      </c>
      <c r="E93" t="s">
        <v>67</v>
      </c>
    </row>
    <row r="94" spans="1:5" x14ac:dyDescent="0.3">
      <c r="A94" s="40">
        <v>43164.931504699074</v>
      </c>
      <c r="B94" t="s">
        <v>52</v>
      </c>
      <c r="C94">
        <v>24</v>
      </c>
      <c r="E94" t="s">
        <v>67</v>
      </c>
    </row>
    <row r="95" spans="1:5" x14ac:dyDescent="0.3">
      <c r="A95" s="40">
        <v>43179.439402951386</v>
      </c>
      <c r="B95" t="s">
        <v>49</v>
      </c>
      <c r="C95">
        <v>18</v>
      </c>
      <c r="E95" t="s">
        <v>67</v>
      </c>
    </row>
    <row r="96" spans="1:5" x14ac:dyDescent="0.3">
      <c r="A96" s="40">
        <v>43183.586036747685</v>
      </c>
      <c r="B96" t="s">
        <v>52</v>
      </c>
      <c r="C96">
        <v>15</v>
      </c>
      <c r="E96" t="s">
        <v>67</v>
      </c>
    </row>
    <row r="97" spans="1:5" x14ac:dyDescent="0.3">
      <c r="A97" s="40">
        <v>43187.752360925922</v>
      </c>
      <c r="B97" t="s">
        <v>56</v>
      </c>
      <c r="C97">
        <v>30</v>
      </c>
      <c r="E97" t="s">
        <v>67</v>
      </c>
    </row>
    <row r="98" spans="1:5" x14ac:dyDescent="0.3">
      <c r="A98" s="40">
        <v>43195.09917898148</v>
      </c>
      <c r="B98" t="s">
        <v>58</v>
      </c>
      <c r="C98">
        <v>26</v>
      </c>
      <c r="E98" t="s">
        <v>68</v>
      </c>
    </row>
    <row r="99" spans="1:5" x14ac:dyDescent="0.3">
      <c r="A99" s="40">
        <v>43203.417422847226</v>
      </c>
      <c r="B99" t="s">
        <v>52</v>
      </c>
      <c r="C99">
        <v>24</v>
      </c>
      <c r="E99" t="s">
        <v>68</v>
      </c>
    </row>
    <row r="100" spans="1:5" x14ac:dyDescent="0.3">
      <c r="A100" s="40">
        <v>43219.541306631945</v>
      </c>
      <c r="B100" t="s">
        <v>51</v>
      </c>
      <c r="C100">
        <v>31</v>
      </c>
      <c r="E100" t="s">
        <v>68</v>
      </c>
    </row>
    <row r="101" spans="1:5" x14ac:dyDescent="0.3">
      <c r="A101" s="40">
        <v>43230.485489039354</v>
      </c>
      <c r="B101" t="s">
        <v>59</v>
      </c>
      <c r="C101">
        <v>16</v>
      </c>
      <c r="E101" t="s">
        <v>68</v>
      </c>
    </row>
    <row r="102" spans="1:5" x14ac:dyDescent="0.3">
      <c r="A102" s="40">
        <v>43234.86607084491</v>
      </c>
      <c r="B102" t="s">
        <v>53</v>
      </c>
      <c r="C102">
        <v>35</v>
      </c>
      <c r="E102" t="s">
        <v>66</v>
      </c>
    </row>
    <row r="103" spans="1:5" x14ac:dyDescent="0.3">
      <c r="A103" s="40">
        <v>43237.360947152774</v>
      </c>
      <c r="B103" t="s">
        <v>51</v>
      </c>
      <c r="C103">
        <v>17</v>
      </c>
      <c r="E103" t="s">
        <v>67</v>
      </c>
    </row>
    <row r="104" spans="1:5" x14ac:dyDescent="0.3">
      <c r="A104" s="40">
        <v>43249.825416331019</v>
      </c>
      <c r="B104" t="s">
        <v>60</v>
      </c>
      <c r="C104">
        <v>30</v>
      </c>
      <c r="E104" t="s">
        <v>67</v>
      </c>
    </row>
    <row r="105" spans="1:5" x14ac:dyDescent="0.3">
      <c r="A105" s="40">
        <v>43250.83344357639</v>
      </c>
      <c r="B105" t="s">
        <v>50</v>
      </c>
      <c r="C105">
        <v>17</v>
      </c>
      <c r="E105" t="s">
        <v>66</v>
      </c>
    </row>
    <row r="106" spans="1:5" x14ac:dyDescent="0.3">
      <c r="A106" s="40">
        <v>43259.910029155093</v>
      </c>
      <c r="B106" t="s">
        <v>54</v>
      </c>
      <c r="C106">
        <v>34</v>
      </c>
      <c r="E106" t="s">
        <v>67</v>
      </c>
    </row>
    <row r="107" spans="1:5" x14ac:dyDescent="0.3">
      <c r="A107" s="40">
        <v>43284.145871400462</v>
      </c>
      <c r="B107" t="s">
        <v>53</v>
      </c>
      <c r="C107">
        <v>24</v>
      </c>
      <c r="E107" t="s">
        <v>67</v>
      </c>
    </row>
    <row r="108" spans="1:5" x14ac:dyDescent="0.3">
      <c r="A108" s="40">
        <v>43284.688682615742</v>
      </c>
      <c r="B108" t="s">
        <v>59</v>
      </c>
      <c r="C108">
        <v>16</v>
      </c>
      <c r="E108" t="s">
        <v>66</v>
      </c>
    </row>
    <row r="109" spans="1:5" x14ac:dyDescent="0.3">
      <c r="A109" s="40">
        <v>43287.522101817129</v>
      </c>
      <c r="B109" t="s">
        <v>52</v>
      </c>
      <c r="C109">
        <v>14</v>
      </c>
      <c r="E109" t="s">
        <v>67</v>
      </c>
    </row>
    <row r="110" spans="1:5" x14ac:dyDescent="0.3">
      <c r="A110" s="40">
        <v>43287.859716851854</v>
      </c>
      <c r="B110" t="s">
        <v>60</v>
      </c>
      <c r="C110">
        <v>27</v>
      </c>
      <c r="E110" t="s">
        <v>67</v>
      </c>
    </row>
    <row r="111" spans="1:5" x14ac:dyDescent="0.3">
      <c r="A111" s="40">
        <v>43300.698959409725</v>
      </c>
      <c r="B111" t="s">
        <v>56</v>
      </c>
      <c r="C111">
        <v>22</v>
      </c>
      <c r="E111" t="s">
        <v>66</v>
      </c>
    </row>
    <row r="112" spans="1:5" x14ac:dyDescent="0.3">
      <c r="A112" s="40">
        <v>43307.581683171295</v>
      </c>
      <c r="B112" t="s">
        <v>49</v>
      </c>
      <c r="C112">
        <v>24</v>
      </c>
      <c r="E112" t="s">
        <v>67</v>
      </c>
    </row>
    <row r="113" spans="1:5" x14ac:dyDescent="0.3">
      <c r="A113" s="40">
        <v>43310.215491875002</v>
      </c>
      <c r="B113" t="s">
        <v>52</v>
      </c>
      <c r="C113">
        <v>30</v>
      </c>
      <c r="E113" t="s">
        <v>67</v>
      </c>
    </row>
    <row r="114" spans="1:5" x14ac:dyDescent="0.3">
      <c r="A114" s="40">
        <v>43332.663975659721</v>
      </c>
      <c r="B114" t="s">
        <v>51</v>
      </c>
      <c r="C114">
        <v>11</v>
      </c>
      <c r="E114" t="s">
        <v>67</v>
      </c>
    </row>
    <row r="115" spans="1:5" x14ac:dyDescent="0.3">
      <c r="A115" s="40">
        <v>43345.614149537039</v>
      </c>
      <c r="B115" t="s">
        <v>52</v>
      </c>
      <c r="C115">
        <v>15</v>
      </c>
      <c r="E115" t="s">
        <v>68</v>
      </c>
    </row>
    <row r="116" spans="1:5" x14ac:dyDescent="0.3">
      <c r="A116" s="40">
        <v>43355.777920960645</v>
      </c>
      <c r="B116" t="s">
        <v>54</v>
      </c>
      <c r="C116">
        <v>34</v>
      </c>
      <c r="E116" t="s">
        <v>68</v>
      </c>
    </row>
    <row r="117" spans="1:5" x14ac:dyDescent="0.3">
      <c r="A117" s="40">
        <v>43363.077609953703</v>
      </c>
      <c r="B117" t="s">
        <v>53</v>
      </c>
      <c r="C117">
        <v>14</v>
      </c>
      <c r="E117" t="s">
        <v>68</v>
      </c>
    </row>
    <row r="118" spans="1:5" x14ac:dyDescent="0.3">
      <c r="A118" s="40">
        <v>43398.090189965274</v>
      </c>
      <c r="B118" t="s">
        <v>59</v>
      </c>
      <c r="C118">
        <v>11</v>
      </c>
      <c r="E118" t="s">
        <v>67</v>
      </c>
    </row>
    <row r="119" spans="1:5" x14ac:dyDescent="0.3">
      <c r="A119" s="40">
        <v>43398.488037361109</v>
      </c>
      <c r="B119" t="s">
        <v>52</v>
      </c>
      <c r="C119">
        <v>18</v>
      </c>
      <c r="E119" t="s">
        <v>68</v>
      </c>
    </row>
    <row r="120" spans="1:5" x14ac:dyDescent="0.3">
      <c r="A120" s="40">
        <v>43403.200350266205</v>
      </c>
      <c r="B120" t="s">
        <v>56</v>
      </c>
      <c r="C120">
        <v>13</v>
      </c>
      <c r="E120" t="s">
        <v>68</v>
      </c>
    </row>
    <row r="121" spans="1:5" x14ac:dyDescent="0.3">
      <c r="A121" s="40">
        <v>43406.964917997684</v>
      </c>
      <c r="B121" t="s">
        <v>50</v>
      </c>
      <c r="C121">
        <v>23</v>
      </c>
      <c r="E121" t="s">
        <v>68</v>
      </c>
    </row>
    <row r="122" spans="1:5" x14ac:dyDescent="0.3">
      <c r="A122" s="40">
        <v>43407.326755289352</v>
      </c>
      <c r="B122" t="s">
        <v>52</v>
      </c>
      <c r="C122">
        <v>18</v>
      </c>
      <c r="E122" t="s">
        <v>67</v>
      </c>
    </row>
    <row r="123" spans="1:5" x14ac:dyDescent="0.3">
      <c r="A123" s="40">
        <v>43408.261308148147</v>
      </c>
      <c r="B123" t="s">
        <v>51</v>
      </c>
      <c r="C123">
        <v>17</v>
      </c>
      <c r="E123" t="s">
        <v>66</v>
      </c>
    </row>
    <row r="124" spans="1:5" x14ac:dyDescent="0.3">
      <c r="A124" s="40">
        <v>43432.191263807872</v>
      </c>
      <c r="B124" t="s">
        <v>56</v>
      </c>
      <c r="C124">
        <v>22</v>
      </c>
      <c r="E124" t="s">
        <v>67</v>
      </c>
    </row>
    <row r="125" spans="1:5" x14ac:dyDescent="0.3">
      <c r="A125" s="40">
        <v>43437.237448553242</v>
      </c>
      <c r="B125" t="s">
        <v>59</v>
      </c>
      <c r="C125">
        <v>26</v>
      </c>
      <c r="E125" t="s">
        <v>66</v>
      </c>
    </row>
    <row r="126" spans="1:5" x14ac:dyDescent="0.3">
      <c r="A126" s="40">
        <v>43453.551812280093</v>
      </c>
      <c r="B126" t="s">
        <v>51</v>
      </c>
      <c r="C126">
        <v>21</v>
      </c>
      <c r="E126" t="s">
        <v>67</v>
      </c>
    </row>
    <row r="127" spans="1:5" x14ac:dyDescent="0.3">
      <c r="A127" s="40">
        <v>43453.881745474537</v>
      </c>
      <c r="B127" t="s">
        <v>59</v>
      </c>
      <c r="C127">
        <v>28</v>
      </c>
      <c r="E127" t="s">
        <v>66</v>
      </c>
    </row>
    <row r="128" spans="1:5" x14ac:dyDescent="0.3">
      <c r="A128" s="40">
        <v>43461.674895497687</v>
      </c>
      <c r="B128" t="s">
        <v>52</v>
      </c>
      <c r="C128">
        <v>18</v>
      </c>
      <c r="E128" t="s">
        <v>67</v>
      </c>
    </row>
    <row r="129" spans="1:5" x14ac:dyDescent="0.3">
      <c r="A129" s="40">
        <v>43474.409701157405</v>
      </c>
      <c r="B129" t="s">
        <v>59</v>
      </c>
      <c r="C129">
        <v>14</v>
      </c>
      <c r="E129" t="s">
        <v>66</v>
      </c>
    </row>
    <row r="130" spans="1:5" x14ac:dyDescent="0.3">
      <c r="A130" s="40">
        <v>43484.298837037037</v>
      </c>
      <c r="B130" t="s">
        <v>56</v>
      </c>
      <c r="C130">
        <v>13</v>
      </c>
      <c r="E130" t="s">
        <v>67</v>
      </c>
    </row>
    <row r="131" spans="1:5" x14ac:dyDescent="0.3">
      <c r="A131" s="40">
        <v>43488.168081655094</v>
      </c>
      <c r="B131" t="s">
        <v>61</v>
      </c>
      <c r="C131">
        <v>26</v>
      </c>
      <c r="E131" t="s">
        <v>66</v>
      </c>
    </row>
    <row r="132" spans="1:5" x14ac:dyDescent="0.3">
      <c r="A132" s="40">
        <v>43492.683380995368</v>
      </c>
      <c r="B132" t="s">
        <v>56</v>
      </c>
      <c r="C132">
        <v>29</v>
      </c>
      <c r="E132" t="s">
        <v>66</v>
      </c>
    </row>
    <row r="133" spans="1:5" x14ac:dyDescent="0.3">
      <c r="A133" s="40">
        <v>43511.448742939814</v>
      </c>
      <c r="B133" t="s">
        <v>51</v>
      </c>
      <c r="C133">
        <v>23</v>
      </c>
      <c r="E133" t="s">
        <v>66</v>
      </c>
    </row>
    <row r="134" spans="1:5" x14ac:dyDescent="0.3">
      <c r="A134" s="40">
        <v>43514.362863425929</v>
      </c>
      <c r="B134" t="s">
        <v>52</v>
      </c>
      <c r="C134">
        <v>14</v>
      </c>
      <c r="E134" t="s">
        <v>66</v>
      </c>
    </row>
    <row r="135" spans="1:5" x14ac:dyDescent="0.3">
      <c r="A135" s="40">
        <v>43531.119654270835</v>
      </c>
      <c r="B135" t="s">
        <v>58</v>
      </c>
      <c r="C135">
        <v>23</v>
      </c>
      <c r="E135" t="s">
        <v>66</v>
      </c>
    </row>
    <row r="136" spans="1:5" x14ac:dyDescent="0.3">
      <c r="A136" s="40">
        <v>43541.803424837963</v>
      </c>
      <c r="B136" t="s">
        <v>49</v>
      </c>
      <c r="C136">
        <v>16</v>
      </c>
      <c r="E136" t="s">
        <v>66</v>
      </c>
    </row>
    <row r="137" spans="1:5" x14ac:dyDescent="0.3">
      <c r="A137" s="40">
        <v>43551.832083159723</v>
      </c>
      <c r="B137" t="s">
        <v>52</v>
      </c>
      <c r="C137">
        <v>10</v>
      </c>
      <c r="E137" t="s">
        <v>66</v>
      </c>
    </row>
    <row r="138" spans="1:5" x14ac:dyDescent="0.3">
      <c r="A138" s="40">
        <v>43554.147962939816</v>
      </c>
      <c r="B138" t="s">
        <v>54</v>
      </c>
      <c r="C138">
        <v>22</v>
      </c>
      <c r="E138" t="s">
        <v>66</v>
      </c>
    </row>
    <row r="139" spans="1:5" x14ac:dyDescent="0.3">
      <c r="A139" s="40">
        <v>43560.304251863425</v>
      </c>
      <c r="B139" t="s">
        <v>58</v>
      </c>
      <c r="C139">
        <v>33</v>
      </c>
      <c r="E139" t="s">
        <v>66</v>
      </c>
    </row>
    <row r="140" spans="1:5" x14ac:dyDescent="0.3">
      <c r="A140" s="40">
        <v>43565.932633738426</v>
      </c>
      <c r="B140" t="s">
        <v>50</v>
      </c>
      <c r="C140">
        <v>24</v>
      </c>
      <c r="E140" t="s">
        <v>66</v>
      </c>
    </row>
    <row r="141" spans="1:5" x14ac:dyDescent="0.3">
      <c r="A141" s="40">
        <v>43568.253810092596</v>
      </c>
      <c r="B141" t="s">
        <v>51</v>
      </c>
      <c r="C141">
        <v>34</v>
      </c>
      <c r="E141" t="s">
        <v>68</v>
      </c>
    </row>
    <row r="142" spans="1:5" x14ac:dyDescent="0.3">
      <c r="A142" s="40">
        <v>43583.900404398148</v>
      </c>
      <c r="B142" t="s">
        <v>50</v>
      </c>
      <c r="C142">
        <v>33</v>
      </c>
      <c r="E142" t="s">
        <v>67</v>
      </c>
    </row>
    <row r="143" spans="1:5" x14ac:dyDescent="0.3">
      <c r="A143" s="40">
        <v>43586.186710277776</v>
      </c>
      <c r="B143" t="s">
        <v>56</v>
      </c>
      <c r="C143">
        <v>22</v>
      </c>
      <c r="E143" t="s">
        <v>68</v>
      </c>
    </row>
    <row r="144" spans="1:5" x14ac:dyDescent="0.3">
      <c r="A144" s="40">
        <v>43595.111193865741</v>
      </c>
      <c r="B144" t="s">
        <v>49</v>
      </c>
      <c r="C144">
        <v>35</v>
      </c>
      <c r="E144" t="s">
        <v>67</v>
      </c>
    </row>
    <row r="145" spans="1:5" x14ac:dyDescent="0.3">
      <c r="A145" s="40">
        <v>43602.334961412038</v>
      </c>
      <c r="B145" t="s">
        <v>61</v>
      </c>
      <c r="C145">
        <v>30</v>
      </c>
      <c r="E145" t="s">
        <v>68</v>
      </c>
    </row>
    <row r="146" spans="1:5" x14ac:dyDescent="0.3">
      <c r="A146" s="40">
        <v>43618.331622465281</v>
      </c>
      <c r="B146" t="s">
        <v>52</v>
      </c>
      <c r="C146">
        <v>26</v>
      </c>
      <c r="E146" t="s">
        <v>67</v>
      </c>
    </row>
    <row r="147" spans="1:5" x14ac:dyDescent="0.3">
      <c r="A147" s="40">
        <v>43630.610431898145</v>
      </c>
      <c r="B147" t="s">
        <v>52</v>
      </c>
      <c r="C147">
        <v>10</v>
      </c>
      <c r="E147" t="s">
        <v>68</v>
      </c>
    </row>
    <row r="148" spans="1:5" x14ac:dyDescent="0.3">
      <c r="A148" s="40">
        <v>43635.819315694447</v>
      </c>
      <c r="B148" t="s">
        <v>51</v>
      </c>
      <c r="C148">
        <v>32</v>
      </c>
      <c r="E148" t="s">
        <v>68</v>
      </c>
    </row>
    <row r="149" spans="1:5" x14ac:dyDescent="0.3">
      <c r="A149" s="40">
        <v>43641.078181481484</v>
      </c>
      <c r="B149" t="s">
        <v>59</v>
      </c>
      <c r="C149">
        <v>26</v>
      </c>
      <c r="E149" t="s">
        <v>68</v>
      </c>
    </row>
    <row r="150" spans="1:5" x14ac:dyDescent="0.3">
      <c r="A150" s="40">
        <v>43643.935530069444</v>
      </c>
      <c r="B150" t="s">
        <v>60</v>
      </c>
      <c r="C150">
        <v>14</v>
      </c>
      <c r="E150" t="s">
        <v>68</v>
      </c>
    </row>
    <row r="151" spans="1:5" x14ac:dyDescent="0.3">
      <c r="A151" s="40">
        <v>43659.431764189816</v>
      </c>
      <c r="B151" t="s">
        <v>61</v>
      </c>
      <c r="C151">
        <v>17</v>
      </c>
      <c r="E151" t="s">
        <v>68</v>
      </c>
    </row>
    <row r="152" spans="1:5" x14ac:dyDescent="0.3">
      <c r="A152" s="40">
        <v>43662.137606296295</v>
      </c>
      <c r="B152" t="s">
        <v>52</v>
      </c>
      <c r="C152">
        <v>39</v>
      </c>
      <c r="E152" t="s">
        <v>68</v>
      </c>
    </row>
    <row r="153" spans="1:5" x14ac:dyDescent="0.3">
      <c r="A153" s="40">
        <v>43672.883332418984</v>
      </c>
      <c r="B153" t="s">
        <v>56</v>
      </c>
      <c r="C153">
        <v>37</v>
      </c>
      <c r="E153" t="s">
        <v>68</v>
      </c>
    </row>
    <row r="154" spans="1:5" x14ac:dyDescent="0.3">
      <c r="A154" s="40">
        <v>43676.811311585647</v>
      </c>
      <c r="B154" t="s">
        <v>50</v>
      </c>
      <c r="C154">
        <v>37</v>
      </c>
      <c r="E154" t="s">
        <v>68</v>
      </c>
    </row>
    <row r="155" spans="1:5" x14ac:dyDescent="0.3">
      <c r="A155" s="40">
        <v>43685.594095509259</v>
      </c>
      <c r="B155" t="s">
        <v>52</v>
      </c>
      <c r="C155">
        <v>40</v>
      </c>
      <c r="E155" t="s">
        <v>67</v>
      </c>
    </row>
    <row r="156" spans="1:5" x14ac:dyDescent="0.3">
      <c r="A156" s="40">
        <v>43696.280155092594</v>
      </c>
      <c r="B156" t="s">
        <v>58</v>
      </c>
      <c r="C156">
        <v>20</v>
      </c>
      <c r="E156" t="s">
        <v>66</v>
      </c>
    </row>
    <row r="157" spans="1:5" x14ac:dyDescent="0.3">
      <c r="A157" s="40">
        <v>43725.095347395836</v>
      </c>
      <c r="B157" t="s">
        <v>59</v>
      </c>
      <c r="C157">
        <v>17</v>
      </c>
      <c r="E157" t="s">
        <v>66</v>
      </c>
    </row>
    <row r="158" spans="1:5" x14ac:dyDescent="0.3">
      <c r="A158" s="40">
        <v>43725.546105949077</v>
      </c>
      <c r="B158" t="s">
        <v>50</v>
      </c>
      <c r="C158">
        <v>36</v>
      </c>
      <c r="E158" t="s">
        <v>67</v>
      </c>
    </row>
    <row r="159" spans="1:5" x14ac:dyDescent="0.3">
      <c r="A159" s="40">
        <v>43729.508804131947</v>
      </c>
      <c r="B159" t="s">
        <v>60</v>
      </c>
      <c r="C159">
        <v>30</v>
      </c>
      <c r="E159" t="s">
        <v>66</v>
      </c>
    </row>
    <row r="160" spans="1:5" x14ac:dyDescent="0.3">
      <c r="A160" s="40">
        <v>43742.813166863423</v>
      </c>
      <c r="B160" t="s">
        <v>58</v>
      </c>
      <c r="C160">
        <v>28</v>
      </c>
      <c r="E160" t="s">
        <v>66</v>
      </c>
    </row>
    <row r="161" spans="1:5" x14ac:dyDescent="0.3">
      <c r="A161" s="40">
        <v>43748.723311377318</v>
      </c>
      <c r="B161" t="s">
        <v>60</v>
      </c>
      <c r="C161">
        <v>33</v>
      </c>
      <c r="E161" t="s">
        <v>67</v>
      </c>
    </row>
    <row r="162" spans="1:5" x14ac:dyDescent="0.3">
      <c r="A162" s="40">
        <v>43752.349986608795</v>
      </c>
      <c r="B162" t="s">
        <v>56</v>
      </c>
      <c r="C162">
        <v>37</v>
      </c>
      <c r="E162" t="s">
        <v>66</v>
      </c>
    </row>
    <row r="163" spans="1:5" x14ac:dyDescent="0.3">
      <c r="A163" s="40">
        <v>43776.557091944444</v>
      </c>
      <c r="B163" t="s">
        <v>61</v>
      </c>
      <c r="C163">
        <v>27</v>
      </c>
      <c r="E163" t="s">
        <v>66</v>
      </c>
    </row>
    <row r="164" spans="1:5" x14ac:dyDescent="0.3">
      <c r="A164" s="40">
        <v>43810.120741307874</v>
      </c>
      <c r="B164" t="s">
        <v>49</v>
      </c>
      <c r="C164">
        <v>16</v>
      </c>
      <c r="E164" t="s">
        <v>67</v>
      </c>
    </row>
    <row r="165" spans="1:5" x14ac:dyDescent="0.3">
      <c r="A165" s="40">
        <v>43819.093587615738</v>
      </c>
      <c r="B165" t="s">
        <v>52</v>
      </c>
      <c r="C165">
        <v>25</v>
      </c>
      <c r="E165" t="s">
        <v>66</v>
      </c>
    </row>
    <row r="166" spans="1:5" x14ac:dyDescent="0.3">
      <c r="A166" s="40">
        <v>43822.028454560183</v>
      </c>
      <c r="B166" t="s">
        <v>56</v>
      </c>
      <c r="C166">
        <v>22</v>
      </c>
      <c r="E166" t="s">
        <v>66</v>
      </c>
    </row>
    <row r="167" spans="1:5" x14ac:dyDescent="0.3">
      <c r="A167" s="40">
        <v>43833.027109571762</v>
      </c>
      <c r="B167" t="s">
        <v>61</v>
      </c>
      <c r="C167">
        <v>12</v>
      </c>
      <c r="E167" t="s">
        <v>67</v>
      </c>
    </row>
    <row r="168" spans="1:5" x14ac:dyDescent="0.3">
      <c r="A168" s="40">
        <v>43836.258723587962</v>
      </c>
      <c r="B168" t="s">
        <v>55</v>
      </c>
      <c r="C168">
        <v>23</v>
      </c>
      <c r="E168" t="s">
        <v>66</v>
      </c>
    </row>
    <row r="169" spans="1:5" x14ac:dyDescent="0.3">
      <c r="A169" s="40">
        <v>43873.566314456017</v>
      </c>
      <c r="B169" t="s">
        <v>51</v>
      </c>
      <c r="C169">
        <v>22</v>
      </c>
      <c r="E169" t="s">
        <v>66</v>
      </c>
    </row>
    <row r="170" spans="1:5" x14ac:dyDescent="0.3">
      <c r="A170" s="40">
        <v>43882.089731863423</v>
      </c>
      <c r="B170" t="s">
        <v>52</v>
      </c>
      <c r="C170">
        <v>40</v>
      </c>
      <c r="E170" t="s">
        <v>67</v>
      </c>
    </row>
    <row r="171" spans="1:5" x14ac:dyDescent="0.3">
      <c r="A171" s="40">
        <v>43882.389557118055</v>
      </c>
      <c r="B171" t="s">
        <v>50</v>
      </c>
      <c r="C171">
        <v>34</v>
      </c>
      <c r="E171" t="s">
        <v>67</v>
      </c>
    </row>
    <row r="172" spans="1:5" x14ac:dyDescent="0.3">
      <c r="A172" s="40">
        <v>43888.576670162038</v>
      </c>
      <c r="B172" t="s">
        <v>51</v>
      </c>
      <c r="C172">
        <v>26</v>
      </c>
      <c r="E172" t="s">
        <v>67</v>
      </c>
    </row>
    <row r="173" spans="1:5" x14ac:dyDescent="0.3">
      <c r="A173" s="40">
        <v>43900.056221712963</v>
      </c>
      <c r="B173" t="s">
        <v>54</v>
      </c>
      <c r="C173">
        <v>24</v>
      </c>
      <c r="E173" t="s">
        <v>67</v>
      </c>
    </row>
    <row r="174" spans="1:5" x14ac:dyDescent="0.3">
      <c r="A174" s="40">
        <v>43901.748909965281</v>
      </c>
      <c r="B174" t="s">
        <v>51</v>
      </c>
      <c r="C174">
        <v>37</v>
      </c>
      <c r="E174" t="s">
        <v>67</v>
      </c>
    </row>
    <row r="175" spans="1:5" x14ac:dyDescent="0.3">
      <c r="A175" s="40">
        <v>43914.041911342596</v>
      </c>
      <c r="B175" t="s">
        <v>59</v>
      </c>
      <c r="C175">
        <v>17</v>
      </c>
      <c r="E175" t="s">
        <v>68</v>
      </c>
    </row>
    <row r="176" spans="1:5" x14ac:dyDescent="0.3">
      <c r="A176" s="40">
        <v>43929.243473020833</v>
      </c>
      <c r="B176" t="s">
        <v>59</v>
      </c>
      <c r="C176">
        <v>31</v>
      </c>
      <c r="E176" t="s">
        <v>68</v>
      </c>
    </row>
    <row r="177" spans="1:5" x14ac:dyDescent="0.3">
      <c r="A177" s="40">
        <v>43945.640704606485</v>
      </c>
      <c r="B177" t="s">
        <v>52</v>
      </c>
      <c r="C177">
        <v>16</v>
      </c>
      <c r="E177" t="s">
        <v>68</v>
      </c>
    </row>
    <row r="178" spans="1:5" x14ac:dyDescent="0.3">
      <c r="A178" s="40">
        <v>43974.340813437499</v>
      </c>
      <c r="B178" t="s">
        <v>60</v>
      </c>
      <c r="C178">
        <v>17</v>
      </c>
      <c r="E178" t="s">
        <v>67</v>
      </c>
    </row>
    <row r="179" spans="1:5" x14ac:dyDescent="0.3">
      <c r="A179" s="40">
        <v>43981.544800601849</v>
      </c>
      <c r="B179" t="s">
        <v>57</v>
      </c>
      <c r="C179">
        <v>30</v>
      </c>
      <c r="E179" t="s">
        <v>68</v>
      </c>
    </row>
    <row r="180" spans="1:5" x14ac:dyDescent="0.3">
      <c r="A180" s="40">
        <v>43985.215519201389</v>
      </c>
      <c r="B180" t="s">
        <v>50</v>
      </c>
      <c r="C180">
        <v>29</v>
      </c>
      <c r="E180" t="s">
        <v>68</v>
      </c>
    </row>
    <row r="181" spans="1:5" x14ac:dyDescent="0.3">
      <c r="A181" s="40">
        <v>43999.657373333335</v>
      </c>
      <c r="B181" t="s">
        <v>59</v>
      </c>
      <c r="C181">
        <v>25</v>
      </c>
      <c r="E181" t="s">
        <v>68</v>
      </c>
    </row>
    <row r="182" spans="1:5" x14ac:dyDescent="0.3">
      <c r="A182" s="40">
        <v>44033.602566608795</v>
      </c>
      <c r="B182" t="s">
        <v>52</v>
      </c>
      <c r="C182">
        <v>34</v>
      </c>
      <c r="E182" t="s">
        <v>67</v>
      </c>
    </row>
    <row r="183" spans="1:5" x14ac:dyDescent="0.3">
      <c r="A183" s="40">
        <v>44036.480264837963</v>
      </c>
      <c r="B183" t="s">
        <v>58</v>
      </c>
      <c r="C183">
        <v>23</v>
      </c>
      <c r="E183" t="s">
        <v>68</v>
      </c>
    </row>
    <row r="184" spans="1:5" x14ac:dyDescent="0.3">
      <c r="A184" s="40">
        <v>44050.401353356479</v>
      </c>
      <c r="B184" t="s">
        <v>54</v>
      </c>
      <c r="C184">
        <v>33</v>
      </c>
      <c r="E184" t="s">
        <v>68</v>
      </c>
    </row>
    <row r="185" spans="1:5" x14ac:dyDescent="0.3">
      <c r="A185" s="40">
        <v>44055.950879618053</v>
      </c>
      <c r="B185" t="s">
        <v>58</v>
      </c>
      <c r="C185">
        <v>26</v>
      </c>
      <c r="E185" t="s">
        <v>68</v>
      </c>
    </row>
    <row r="186" spans="1:5" x14ac:dyDescent="0.3">
      <c r="A186" s="40">
        <v>44085.676486307872</v>
      </c>
      <c r="B186" t="s">
        <v>60</v>
      </c>
      <c r="C186">
        <v>20</v>
      </c>
      <c r="E186" t="s">
        <v>67</v>
      </c>
    </row>
    <row r="187" spans="1:5" x14ac:dyDescent="0.3">
      <c r="A187" s="40">
        <v>44089.532320347222</v>
      </c>
      <c r="B187" t="s">
        <v>54</v>
      </c>
      <c r="C187">
        <v>35</v>
      </c>
      <c r="E187" t="s">
        <v>68</v>
      </c>
    </row>
    <row r="188" spans="1:5" x14ac:dyDescent="0.3">
      <c r="A188" s="40">
        <v>44097.123237800923</v>
      </c>
      <c r="B188" t="s">
        <v>61</v>
      </c>
      <c r="C188">
        <v>31</v>
      </c>
      <c r="E188" t="s">
        <v>68</v>
      </c>
    </row>
    <row r="189" spans="1:5" x14ac:dyDescent="0.3">
      <c r="A189" s="40">
        <v>44118.404279467592</v>
      </c>
      <c r="B189" t="s">
        <v>54</v>
      </c>
      <c r="C189">
        <v>27</v>
      </c>
      <c r="E189" t="s">
        <v>68</v>
      </c>
    </row>
    <row r="190" spans="1:5" x14ac:dyDescent="0.3">
      <c r="A190" s="40">
        <v>44133.290418807868</v>
      </c>
      <c r="B190" t="s">
        <v>61</v>
      </c>
      <c r="C190">
        <v>34</v>
      </c>
      <c r="E190" t="s">
        <v>67</v>
      </c>
    </row>
    <row r="191" spans="1:5" x14ac:dyDescent="0.3">
      <c r="A191" s="40">
        <v>44138.638334918978</v>
      </c>
      <c r="B191" t="s">
        <v>60</v>
      </c>
      <c r="C191">
        <v>36</v>
      </c>
      <c r="E191" t="s">
        <v>68</v>
      </c>
    </row>
    <row r="192" spans="1:5" x14ac:dyDescent="0.3">
      <c r="A192" s="40">
        <v>44146.992132314816</v>
      </c>
      <c r="B192" t="s">
        <v>54</v>
      </c>
      <c r="C192">
        <v>26</v>
      </c>
      <c r="E192" t="s">
        <v>68</v>
      </c>
    </row>
    <row r="193" spans="1:5" x14ac:dyDescent="0.3">
      <c r="A193" s="40">
        <v>44152.485937442128</v>
      </c>
      <c r="B193" t="s">
        <v>56</v>
      </c>
      <c r="C193">
        <v>32</v>
      </c>
      <c r="E193" t="s">
        <v>68</v>
      </c>
    </row>
    <row r="194" spans="1:5" x14ac:dyDescent="0.3">
      <c r="A194" s="40">
        <v>44162.944907881945</v>
      </c>
      <c r="B194" t="s">
        <v>53</v>
      </c>
      <c r="C194">
        <v>36</v>
      </c>
      <c r="E194" t="s">
        <v>67</v>
      </c>
    </row>
    <row r="195" spans="1:5" x14ac:dyDescent="0.3">
      <c r="A195" s="40">
        <v>44173.750040798608</v>
      </c>
      <c r="B195" t="s">
        <v>49</v>
      </c>
      <c r="C195">
        <v>19</v>
      </c>
      <c r="E195" t="s">
        <v>68</v>
      </c>
    </row>
    <row r="196" spans="1:5" x14ac:dyDescent="0.3">
      <c r="A196" s="40">
        <v>44212.617078009258</v>
      </c>
      <c r="B196" t="s">
        <v>50</v>
      </c>
      <c r="C196">
        <v>24</v>
      </c>
      <c r="E196" t="s">
        <v>68</v>
      </c>
    </row>
    <row r="197" spans="1:5" x14ac:dyDescent="0.3">
      <c r="A197" s="40">
        <v>44222.392377152777</v>
      </c>
      <c r="B197" t="s">
        <v>56</v>
      </c>
      <c r="C197">
        <v>12</v>
      </c>
      <c r="E197" t="s">
        <v>68</v>
      </c>
    </row>
    <row r="198" spans="1:5" x14ac:dyDescent="0.3">
      <c r="A198" s="40">
        <v>44223.84334472222</v>
      </c>
      <c r="B198" t="s">
        <v>49</v>
      </c>
      <c r="C198">
        <v>14</v>
      </c>
      <c r="E198" t="s">
        <v>67</v>
      </c>
    </row>
    <row r="199" spans="1:5" x14ac:dyDescent="0.3">
      <c r="A199" s="40">
        <v>44259.768482604166</v>
      </c>
      <c r="B199" t="s">
        <v>52</v>
      </c>
      <c r="C199">
        <v>36</v>
      </c>
      <c r="E199" t="s">
        <v>67</v>
      </c>
    </row>
    <row r="200" spans="1:5" x14ac:dyDescent="0.3">
      <c r="A200" s="40">
        <v>44268.617133182874</v>
      </c>
      <c r="B200" t="s">
        <v>61</v>
      </c>
      <c r="C200">
        <v>29</v>
      </c>
      <c r="E200" t="s">
        <v>66</v>
      </c>
    </row>
    <row r="201" spans="1:5" x14ac:dyDescent="0.3">
      <c r="A201" s="40">
        <v>44278.153513483798</v>
      </c>
      <c r="B201" t="s">
        <v>51</v>
      </c>
      <c r="C201">
        <v>20</v>
      </c>
      <c r="E201" t="s">
        <v>66</v>
      </c>
    </row>
    <row r="202" spans="1:5" x14ac:dyDescent="0.3">
      <c r="A202" s="40">
        <v>44283.249313622684</v>
      </c>
      <c r="B202" t="s">
        <v>55</v>
      </c>
      <c r="C202">
        <v>14</v>
      </c>
      <c r="E202" t="s">
        <v>67</v>
      </c>
    </row>
    <row r="203" spans="1:5" x14ac:dyDescent="0.3">
      <c r="A203" s="40">
        <v>44288.463606203703</v>
      </c>
      <c r="B203" t="s">
        <v>56</v>
      </c>
      <c r="C203">
        <v>24</v>
      </c>
      <c r="E203" t="s">
        <v>67</v>
      </c>
    </row>
    <row r="204" spans="1:5" x14ac:dyDescent="0.3">
      <c r="A204" s="40">
        <v>44297.839081435188</v>
      </c>
      <c r="B204" t="s">
        <v>50</v>
      </c>
      <c r="C204">
        <v>23</v>
      </c>
      <c r="E204" t="s">
        <v>66</v>
      </c>
    </row>
    <row r="205" spans="1:5" x14ac:dyDescent="0.3">
      <c r="A205" s="40">
        <v>44300.906207812499</v>
      </c>
      <c r="B205" t="s">
        <v>50</v>
      </c>
      <c r="C205">
        <v>20</v>
      </c>
      <c r="E205" t="s">
        <v>66</v>
      </c>
    </row>
    <row r="206" spans="1:5" x14ac:dyDescent="0.3">
      <c r="A206" s="40">
        <v>44313.152550729166</v>
      </c>
      <c r="B206" t="s">
        <v>59</v>
      </c>
      <c r="C206">
        <v>21</v>
      </c>
      <c r="E206" t="s">
        <v>67</v>
      </c>
    </row>
    <row r="207" spans="1:5" x14ac:dyDescent="0.3">
      <c r="A207" s="40">
        <v>44320.848779016203</v>
      </c>
      <c r="B207" t="s">
        <v>55</v>
      </c>
      <c r="C207">
        <v>20</v>
      </c>
      <c r="E207" t="s">
        <v>66</v>
      </c>
    </row>
    <row r="208" spans="1:5" x14ac:dyDescent="0.3">
      <c r="A208" s="40">
        <v>44321.395808761576</v>
      </c>
      <c r="B208" t="s">
        <v>53</v>
      </c>
      <c r="C208">
        <v>15</v>
      </c>
      <c r="E208" t="s">
        <v>67</v>
      </c>
    </row>
    <row r="209" spans="1:5" x14ac:dyDescent="0.3">
      <c r="A209" s="40">
        <v>44326.983848900461</v>
      </c>
      <c r="B209" t="s">
        <v>53</v>
      </c>
      <c r="C209">
        <v>29</v>
      </c>
      <c r="E209" t="s">
        <v>66</v>
      </c>
    </row>
    <row r="210" spans="1:5" x14ac:dyDescent="0.3">
      <c r="A210" s="40">
        <v>44331.660981504632</v>
      </c>
      <c r="B210" t="s">
        <v>59</v>
      </c>
      <c r="C210">
        <v>20</v>
      </c>
      <c r="E210" t="s">
        <v>67</v>
      </c>
    </row>
    <row r="211" spans="1:5" x14ac:dyDescent="0.3">
      <c r="A211" s="40">
        <v>44338.668076689813</v>
      </c>
      <c r="B211" t="s">
        <v>55</v>
      </c>
      <c r="C211">
        <v>12</v>
      </c>
      <c r="E211" t="s">
        <v>66</v>
      </c>
    </row>
    <row r="212" spans="1:5" x14ac:dyDescent="0.3">
      <c r="A212" s="40">
        <v>44348.226880011571</v>
      </c>
      <c r="B212" t="s">
        <v>55</v>
      </c>
      <c r="C212">
        <v>12</v>
      </c>
      <c r="E212" t="s">
        <v>67</v>
      </c>
    </row>
    <row r="213" spans="1:5" x14ac:dyDescent="0.3">
      <c r="A213" s="40">
        <v>44349.504987824075</v>
      </c>
      <c r="B213" t="s">
        <v>56</v>
      </c>
      <c r="C213">
        <v>37</v>
      </c>
      <c r="E213" t="s">
        <v>67</v>
      </c>
    </row>
    <row r="214" spans="1:5" x14ac:dyDescent="0.3">
      <c r="A214" s="40">
        <v>44394.219848333334</v>
      </c>
      <c r="B214" t="s">
        <v>58</v>
      </c>
      <c r="C214">
        <v>22</v>
      </c>
      <c r="E214" t="s">
        <v>68</v>
      </c>
    </row>
    <row r="215" spans="1:5" x14ac:dyDescent="0.3">
      <c r="A215" s="40">
        <v>44405.898193090281</v>
      </c>
      <c r="B215" t="s">
        <v>52</v>
      </c>
      <c r="C215">
        <v>20</v>
      </c>
      <c r="E215" t="s">
        <v>68</v>
      </c>
    </row>
    <row r="216" spans="1:5" x14ac:dyDescent="0.3">
      <c r="A216" s="40">
        <v>44407.553585416666</v>
      </c>
      <c r="B216" t="s">
        <v>54</v>
      </c>
      <c r="C216">
        <v>15</v>
      </c>
      <c r="E216" t="s">
        <v>67</v>
      </c>
    </row>
    <row r="217" spans="1:5" x14ac:dyDescent="0.3">
      <c r="A217" s="40">
        <v>44414.213706817129</v>
      </c>
      <c r="B217" t="s">
        <v>49</v>
      </c>
      <c r="C217">
        <v>20</v>
      </c>
      <c r="E217" t="s">
        <v>68</v>
      </c>
    </row>
    <row r="218" spans="1:5" x14ac:dyDescent="0.3">
      <c r="A218" s="40">
        <v>44414.868755451389</v>
      </c>
      <c r="B218" t="s">
        <v>52</v>
      </c>
      <c r="C218">
        <v>35</v>
      </c>
      <c r="E218" t="s">
        <v>68</v>
      </c>
    </row>
    <row r="219" spans="1:5" x14ac:dyDescent="0.3">
      <c r="A219" s="40">
        <v>44416.106817569445</v>
      </c>
      <c r="B219" t="s">
        <v>59</v>
      </c>
      <c r="C219">
        <v>22</v>
      </c>
      <c r="E219" t="s">
        <v>67</v>
      </c>
    </row>
    <row r="220" spans="1:5" x14ac:dyDescent="0.3">
      <c r="A220" s="40">
        <v>44423.503676817127</v>
      </c>
      <c r="B220" t="s">
        <v>58</v>
      </c>
      <c r="C220">
        <v>18</v>
      </c>
      <c r="E220" t="s">
        <v>68</v>
      </c>
    </row>
    <row r="221" spans="1:5" x14ac:dyDescent="0.3">
      <c r="A221" s="40">
        <v>44432.933318229167</v>
      </c>
      <c r="B221" t="s">
        <v>52</v>
      </c>
      <c r="C221">
        <v>17</v>
      </c>
      <c r="E221" t="s">
        <v>68</v>
      </c>
    </row>
    <row r="222" spans="1:5" x14ac:dyDescent="0.3">
      <c r="A222" s="40">
        <v>44440.242571481482</v>
      </c>
      <c r="B222" t="s">
        <v>61</v>
      </c>
      <c r="C222">
        <v>32</v>
      </c>
      <c r="E222" t="s">
        <v>67</v>
      </c>
    </row>
    <row r="223" spans="1:5" x14ac:dyDescent="0.3">
      <c r="A223" s="40">
        <v>44447.136961064818</v>
      </c>
      <c r="B223" t="s">
        <v>59</v>
      </c>
      <c r="C223">
        <v>26</v>
      </c>
      <c r="E223" t="s">
        <v>68</v>
      </c>
    </row>
    <row r="224" spans="1:5" x14ac:dyDescent="0.3">
      <c r="A224" s="40">
        <v>44449.896882824076</v>
      </c>
      <c r="B224" t="s">
        <v>61</v>
      </c>
      <c r="C224">
        <v>30</v>
      </c>
      <c r="E224" t="s">
        <v>68</v>
      </c>
    </row>
    <row r="225" spans="1:1" x14ac:dyDescent="0.3">
      <c r="A225" s="40"/>
    </row>
    <row r="226" spans="1:1" x14ac:dyDescent="0.3">
      <c r="A226" s="40"/>
    </row>
    <row r="227" spans="1:1" x14ac:dyDescent="0.3">
      <c r="A227" s="40"/>
    </row>
    <row r="228" spans="1:1" x14ac:dyDescent="0.3">
      <c r="A228" s="40"/>
    </row>
    <row r="229" spans="1:1" x14ac:dyDescent="0.3">
      <c r="A229" s="40"/>
    </row>
    <row r="230" spans="1:1" x14ac:dyDescent="0.3">
      <c r="A230" s="40"/>
    </row>
    <row r="231" spans="1:1" x14ac:dyDescent="0.3">
      <c r="A231" s="40"/>
    </row>
    <row r="232" spans="1:1" x14ac:dyDescent="0.3">
      <c r="A232" s="4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D3DA-3FF8-4540-AAB2-9F4A77BB6755}">
  <dimension ref="A1:E266"/>
  <sheetViews>
    <sheetView workbookViewId="0">
      <selection sqref="A1:E266"/>
    </sheetView>
  </sheetViews>
  <sheetFormatPr defaultRowHeight="14.4" x14ac:dyDescent="0.3"/>
  <cols>
    <col min="1" max="1" width="15.33203125" bestFit="1" customWidth="1"/>
    <col min="2" max="2" width="27.6640625" bestFit="1" customWidth="1"/>
    <col min="3" max="3" width="28.33203125" bestFit="1" customWidth="1"/>
    <col min="4" max="4" width="11" bestFit="1" customWidth="1"/>
    <col min="5" max="5" width="15" bestFit="1" customWidth="1"/>
  </cols>
  <sheetData>
    <row r="1" spans="1:5" x14ac:dyDescent="0.3">
      <c r="A1" t="s">
        <v>62</v>
      </c>
      <c r="B1" t="s">
        <v>47</v>
      </c>
      <c r="C1" t="s">
        <v>63</v>
      </c>
      <c r="D1" t="s">
        <v>64</v>
      </c>
      <c r="E1" t="s">
        <v>65</v>
      </c>
    </row>
    <row r="2" spans="1:5" x14ac:dyDescent="0.3">
      <c r="A2" s="40">
        <v>42385.033478449077</v>
      </c>
      <c r="B2" t="s">
        <v>56</v>
      </c>
      <c r="C2">
        <v>35</v>
      </c>
      <c r="E2" t="s">
        <v>69</v>
      </c>
    </row>
    <row r="3" spans="1:5" x14ac:dyDescent="0.3">
      <c r="A3" s="40">
        <v>42395.552373645834</v>
      </c>
      <c r="B3" t="s">
        <v>51</v>
      </c>
      <c r="C3">
        <v>10</v>
      </c>
      <c r="E3" t="s">
        <v>70</v>
      </c>
    </row>
    <row r="4" spans="1:5" x14ac:dyDescent="0.3">
      <c r="A4" s="40">
        <v>42398.774436261578</v>
      </c>
      <c r="B4" t="s">
        <v>59</v>
      </c>
      <c r="C4">
        <v>30</v>
      </c>
      <c r="E4" t="s">
        <v>71</v>
      </c>
    </row>
    <row r="5" spans="1:5" x14ac:dyDescent="0.3">
      <c r="A5" s="40">
        <v>42405.454785185182</v>
      </c>
      <c r="B5" t="s">
        <v>52</v>
      </c>
      <c r="C5">
        <v>11</v>
      </c>
      <c r="E5" t="s">
        <v>70</v>
      </c>
    </row>
    <row r="6" spans="1:5" x14ac:dyDescent="0.3">
      <c r="A6" s="40">
        <v>42408.953883888891</v>
      </c>
      <c r="B6" t="s">
        <v>51</v>
      </c>
      <c r="C6">
        <v>31</v>
      </c>
      <c r="E6" t="s">
        <v>69</v>
      </c>
    </row>
    <row r="7" spans="1:5" x14ac:dyDescent="0.3">
      <c r="A7" s="40">
        <v>42412.762764328705</v>
      </c>
      <c r="B7" t="s">
        <v>52</v>
      </c>
      <c r="C7">
        <v>32</v>
      </c>
      <c r="E7" t="s">
        <v>71</v>
      </c>
    </row>
    <row r="8" spans="1:5" x14ac:dyDescent="0.3">
      <c r="A8" s="40">
        <v>42426.187286736109</v>
      </c>
      <c r="B8" t="s">
        <v>52</v>
      </c>
      <c r="C8">
        <v>36</v>
      </c>
      <c r="E8" t="s">
        <v>70</v>
      </c>
    </row>
    <row r="9" spans="1:5" x14ac:dyDescent="0.3">
      <c r="A9" s="40">
        <v>42440.229837824074</v>
      </c>
      <c r="B9" t="s">
        <v>49</v>
      </c>
      <c r="C9">
        <v>18</v>
      </c>
      <c r="E9" t="s">
        <v>71</v>
      </c>
    </row>
    <row r="10" spans="1:5" x14ac:dyDescent="0.3">
      <c r="A10" s="40">
        <v>42451.971855949072</v>
      </c>
      <c r="B10" t="s">
        <v>50</v>
      </c>
      <c r="C10">
        <v>37</v>
      </c>
      <c r="E10" t="s">
        <v>71</v>
      </c>
    </row>
    <row r="11" spans="1:5" x14ac:dyDescent="0.3">
      <c r="A11" s="40">
        <v>42464.15590150463</v>
      </c>
      <c r="B11" t="s">
        <v>53</v>
      </c>
      <c r="C11">
        <v>40</v>
      </c>
      <c r="E11" t="s">
        <v>69</v>
      </c>
    </row>
    <row r="12" spans="1:5" x14ac:dyDescent="0.3">
      <c r="A12" s="40">
        <v>42467.112041087959</v>
      </c>
      <c r="B12" t="s">
        <v>59</v>
      </c>
      <c r="C12">
        <v>14</v>
      </c>
      <c r="E12" t="s">
        <v>70</v>
      </c>
    </row>
    <row r="13" spans="1:5" x14ac:dyDescent="0.3">
      <c r="A13" s="40">
        <v>42482.849901250003</v>
      </c>
      <c r="B13" t="s">
        <v>56</v>
      </c>
      <c r="C13">
        <v>24</v>
      </c>
      <c r="E13" t="s">
        <v>69</v>
      </c>
    </row>
    <row r="14" spans="1:5" x14ac:dyDescent="0.3">
      <c r="A14" s="40">
        <v>42487.658706736111</v>
      </c>
      <c r="B14" t="s">
        <v>56</v>
      </c>
      <c r="C14">
        <v>34</v>
      </c>
      <c r="E14" t="s">
        <v>70</v>
      </c>
    </row>
    <row r="15" spans="1:5" x14ac:dyDescent="0.3">
      <c r="A15" s="40">
        <v>42493.539358946757</v>
      </c>
      <c r="B15" t="s">
        <v>52</v>
      </c>
      <c r="C15">
        <v>25</v>
      </c>
      <c r="E15" t="s">
        <v>69</v>
      </c>
    </row>
    <row r="16" spans="1:5" x14ac:dyDescent="0.3">
      <c r="A16" s="40">
        <v>42501.201393217591</v>
      </c>
      <c r="B16" t="s">
        <v>50</v>
      </c>
      <c r="C16">
        <v>14</v>
      </c>
      <c r="E16" t="s">
        <v>69</v>
      </c>
    </row>
    <row r="17" spans="1:5" x14ac:dyDescent="0.3">
      <c r="A17" s="40">
        <v>42504.132593402777</v>
      </c>
      <c r="B17" t="s">
        <v>58</v>
      </c>
      <c r="C17">
        <v>30</v>
      </c>
      <c r="E17" t="s">
        <v>69</v>
      </c>
    </row>
    <row r="18" spans="1:5" x14ac:dyDescent="0.3">
      <c r="A18" s="40">
        <v>42510.509502939814</v>
      </c>
      <c r="B18" t="s">
        <v>59</v>
      </c>
      <c r="C18">
        <v>30</v>
      </c>
      <c r="E18" t="s">
        <v>69</v>
      </c>
    </row>
    <row r="19" spans="1:5" x14ac:dyDescent="0.3">
      <c r="A19" s="40">
        <v>42512.427067303244</v>
      </c>
      <c r="B19" t="s">
        <v>59</v>
      </c>
      <c r="C19">
        <v>34</v>
      </c>
      <c r="E19" t="s">
        <v>70</v>
      </c>
    </row>
    <row r="20" spans="1:5" x14ac:dyDescent="0.3">
      <c r="A20" s="40">
        <v>42521.23022690972</v>
      </c>
      <c r="B20" t="s">
        <v>52</v>
      </c>
      <c r="C20">
        <v>13</v>
      </c>
      <c r="E20" t="s">
        <v>71</v>
      </c>
    </row>
    <row r="21" spans="1:5" x14ac:dyDescent="0.3">
      <c r="A21" s="40">
        <v>42535.193046192129</v>
      </c>
      <c r="B21" t="s">
        <v>49</v>
      </c>
      <c r="C21">
        <v>29</v>
      </c>
      <c r="E21" t="s">
        <v>71</v>
      </c>
    </row>
    <row r="22" spans="1:5" x14ac:dyDescent="0.3">
      <c r="A22" s="40">
        <v>42539.095548657409</v>
      </c>
      <c r="B22" t="s">
        <v>54</v>
      </c>
      <c r="C22">
        <v>24</v>
      </c>
      <c r="E22" t="s">
        <v>71</v>
      </c>
    </row>
    <row r="23" spans="1:5" x14ac:dyDescent="0.3">
      <c r="A23" s="40">
        <v>42553.451078043981</v>
      </c>
      <c r="B23" t="s">
        <v>52</v>
      </c>
      <c r="C23">
        <v>26</v>
      </c>
      <c r="E23" t="s">
        <v>70</v>
      </c>
    </row>
    <row r="24" spans="1:5" x14ac:dyDescent="0.3">
      <c r="A24" s="40">
        <v>42556.290312523146</v>
      </c>
      <c r="B24" t="s">
        <v>60</v>
      </c>
      <c r="C24">
        <v>20</v>
      </c>
      <c r="E24" t="s">
        <v>70</v>
      </c>
    </row>
    <row r="25" spans="1:5" x14ac:dyDescent="0.3">
      <c r="A25" s="40">
        <v>42573.603825185186</v>
      </c>
      <c r="B25" t="s">
        <v>60</v>
      </c>
      <c r="C25">
        <v>26</v>
      </c>
      <c r="E25" t="s">
        <v>70</v>
      </c>
    </row>
    <row r="26" spans="1:5" x14ac:dyDescent="0.3">
      <c r="A26" s="40">
        <v>42610.662754722223</v>
      </c>
      <c r="B26" t="s">
        <v>58</v>
      </c>
      <c r="C26">
        <v>13</v>
      </c>
      <c r="E26" t="s">
        <v>70</v>
      </c>
    </row>
    <row r="27" spans="1:5" x14ac:dyDescent="0.3">
      <c r="A27" s="40">
        <v>42621.329781759261</v>
      </c>
      <c r="B27" t="s">
        <v>50</v>
      </c>
      <c r="C27">
        <v>35</v>
      </c>
      <c r="E27" t="s">
        <v>70</v>
      </c>
    </row>
    <row r="28" spans="1:5" x14ac:dyDescent="0.3">
      <c r="A28" s="40">
        <v>42632.804821527781</v>
      </c>
      <c r="B28" t="s">
        <v>52</v>
      </c>
      <c r="C28">
        <v>24</v>
      </c>
      <c r="E28" t="s">
        <v>70</v>
      </c>
    </row>
    <row r="29" spans="1:5" x14ac:dyDescent="0.3">
      <c r="A29" s="40">
        <v>42637.069138645835</v>
      </c>
      <c r="B29" t="s">
        <v>52</v>
      </c>
      <c r="C29">
        <v>17</v>
      </c>
      <c r="E29" t="s">
        <v>69</v>
      </c>
    </row>
    <row r="30" spans="1:5" x14ac:dyDescent="0.3">
      <c r="A30" s="40">
        <v>42647.876372800929</v>
      </c>
      <c r="B30" t="s">
        <v>59</v>
      </c>
      <c r="C30">
        <v>18</v>
      </c>
      <c r="E30" t="s">
        <v>71</v>
      </c>
    </row>
    <row r="31" spans="1:5" x14ac:dyDescent="0.3">
      <c r="A31" s="40">
        <v>42653.118669513889</v>
      </c>
      <c r="B31" t="s">
        <v>51</v>
      </c>
      <c r="C31">
        <v>36</v>
      </c>
      <c r="E31" t="s">
        <v>70</v>
      </c>
    </row>
    <row r="32" spans="1:5" x14ac:dyDescent="0.3">
      <c r="A32" s="40">
        <v>42653.800146689813</v>
      </c>
      <c r="B32" t="s">
        <v>55</v>
      </c>
      <c r="C32">
        <v>31</v>
      </c>
      <c r="E32" t="s">
        <v>70</v>
      </c>
    </row>
    <row r="33" spans="1:5" x14ac:dyDescent="0.3">
      <c r="A33" s="40">
        <v>42680.531473298608</v>
      </c>
      <c r="B33" t="s">
        <v>52</v>
      </c>
      <c r="C33">
        <v>18</v>
      </c>
      <c r="E33" t="s">
        <v>70</v>
      </c>
    </row>
    <row r="34" spans="1:5" x14ac:dyDescent="0.3">
      <c r="A34" s="40">
        <v>42680.84709855324</v>
      </c>
      <c r="B34" t="s">
        <v>51</v>
      </c>
      <c r="C34">
        <v>20</v>
      </c>
      <c r="E34" t="s">
        <v>70</v>
      </c>
    </row>
    <row r="35" spans="1:5" x14ac:dyDescent="0.3">
      <c r="A35" s="40">
        <v>42695.87267005787</v>
      </c>
      <c r="B35" t="s">
        <v>53</v>
      </c>
      <c r="C35">
        <v>28</v>
      </c>
      <c r="E35" t="s">
        <v>69</v>
      </c>
    </row>
    <row r="36" spans="1:5" x14ac:dyDescent="0.3">
      <c r="A36" s="40">
        <v>42697.470730497684</v>
      </c>
      <c r="B36" t="s">
        <v>51</v>
      </c>
      <c r="C36">
        <v>21</v>
      </c>
      <c r="E36" t="s">
        <v>71</v>
      </c>
    </row>
    <row r="37" spans="1:5" x14ac:dyDescent="0.3">
      <c r="A37" s="40">
        <v>42707.020151759258</v>
      </c>
      <c r="B37" t="s">
        <v>60</v>
      </c>
      <c r="C37">
        <v>25</v>
      </c>
      <c r="E37" t="s">
        <v>70</v>
      </c>
    </row>
    <row r="38" spans="1:5" x14ac:dyDescent="0.3">
      <c r="A38" s="40">
        <v>42710.08105241898</v>
      </c>
      <c r="B38" t="s">
        <v>54</v>
      </c>
      <c r="C38">
        <v>14</v>
      </c>
      <c r="E38" t="s">
        <v>71</v>
      </c>
    </row>
    <row r="39" spans="1:5" x14ac:dyDescent="0.3">
      <c r="A39" s="40">
        <v>42711.493975659723</v>
      </c>
      <c r="B39" t="s">
        <v>61</v>
      </c>
      <c r="C39">
        <v>11</v>
      </c>
      <c r="E39" t="s">
        <v>69</v>
      </c>
    </row>
    <row r="40" spans="1:5" x14ac:dyDescent="0.3">
      <c r="A40" s="40">
        <v>42715.02643258102</v>
      </c>
      <c r="B40" t="s">
        <v>61</v>
      </c>
      <c r="C40">
        <v>34</v>
      </c>
      <c r="E40" t="s">
        <v>70</v>
      </c>
    </row>
    <row r="41" spans="1:5" x14ac:dyDescent="0.3">
      <c r="A41" s="40">
        <v>42717.348235393518</v>
      </c>
      <c r="B41" t="s">
        <v>49</v>
      </c>
      <c r="C41">
        <v>14</v>
      </c>
      <c r="E41" t="s">
        <v>70</v>
      </c>
    </row>
    <row r="42" spans="1:5" x14ac:dyDescent="0.3">
      <c r="A42" s="40">
        <v>42725.252883969908</v>
      </c>
      <c r="B42" t="s">
        <v>61</v>
      </c>
      <c r="C42">
        <v>12</v>
      </c>
      <c r="E42" t="s">
        <v>70</v>
      </c>
    </row>
    <row r="43" spans="1:5" x14ac:dyDescent="0.3">
      <c r="A43" s="40">
        <v>42740.721751006946</v>
      </c>
      <c r="B43" t="s">
        <v>50</v>
      </c>
      <c r="C43">
        <v>21</v>
      </c>
      <c r="E43" t="s">
        <v>70</v>
      </c>
    </row>
    <row r="44" spans="1:5" x14ac:dyDescent="0.3">
      <c r="A44" s="40">
        <v>42752.517005208334</v>
      </c>
      <c r="B44" t="s">
        <v>61</v>
      </c>
      <c r="C44">
        <v>14</v>
      </c>
      <c r="E44" t="s">
        <v>70</v>
      </c>
    </row>
    <row r="45" spans="1:5" x14ac:dyDescent="0.3">
      <c r="A45" s="40">
        <v>42758.00816675926</v>
      </c>
      <c r="B45" t="s">
        <v>58</v>
      </c>
      <c r="C45">
        <v>25</v>
      </c>
      <c r="E45" t="s">
        <v>69</v>
      </c>
    </row>
    <row r="46" spans="1:5" x14ac:dyDescent="0.3">
      <c r="A46" s="40">
        <v>42758.628516747682</v>
      </c>
      <c r="B46" t="s">
        <v>52</v>
      </c>
      <c r="C46">
        <v>16</v>
      </c>
      <c r="E46" t="s">
        <v>69</v>
      </c>
    </row>
    <row r="47" spans="1:5" x14ac:dyDescent="0.3">
      <c r="A47" s="40">
        <v>42759.713772523151</v>
      </c>
      <c r="B47" t="s">
        <v>52</v>
      </c>
      <c r="C47">
        <v>31</v>
      </c>
      <c r="E47" t="s">
        <v>70</v>
      </c>
    </row>
    <row r="48" spans="1:5" x14ac:dyDescent="0.3">
      <c r="A48" s="40">
        <v>42801.499128923613</v>
      </c>
      <c r="B48" t="s">
        <v>52</v>
      </c>
      <c r="C48">
        <v>28</v>
      </c>
      <c r="E48" t="s">
        <v>69</v>
      </c>
    </row>
    <row r="49" spans="1:5" x14ac:dyDescent="0.3">
      <c r="A49" s="40">
        <v>42803.795300810183</v>
      </c>
      <c r="B49" t="s">
        <v>52</v>
      </c>
      <c r="C49">
        <v>26</v>
      </c>
      <c r="E49" t="s">
        <v>70</v>
      </c>
    </row>
    <row r="50" spans="1:5" x14ac:dyDescent="0.3">
      <c r="A50" s="40">
        <v>42828.45414454861</v>
      </c>
      <c r="B50" t="s">
        <v>59</v>
      </c>
      <c r="C50">
        <v>31</v>
      </c>
      <c r="E50" t="s">
        <v>70</v>
      </c>
    </row>
    <row r="51" spans="1:5" x14ac:dyDescent="0.3">
      <c r="A51" s="40">
        <v>42829.257070115738</v>
      </c>
      <c r="B51" t="s">
        <v>56</v>
      </c>
      <c r="C51">
        <v>33</v>
      </c>
      <c r="E51" t="s">
        <v>69</v>
      </c>
    </row>
    <row r="52" spans="1:5" x14ac:dyDescent="0.3">
      <c r="A52" s="40">
        <v>42856.823983495371</v>
      </c>
      <c r="B52" t="s">
        <v>55</v>
      </c>
      <c r="C52">
        <v>21</v>
      </c>
      <c r="E52" t="s">
        <v>69</v>
      </c>
    </row>
    <row r="53" spans="1:5" x14ac:dyDescent="0.3">
      <c r="A53" s="40">
        <v>42861.09953712963</v>
      </c>
      <c r="B53" t="s">
        <v>53</v>
      </c>
      <c r="C53">
        <v>28</v>
      </c>
      <c r="E53" t="s">
        <v>71</v>
      </c>
    </row>
    <row r="54" spans="1:5" x14ac:dyDescent="0.3">
      <c r="A54" s="40">
        <v>42871.772154004633</v>
      </c>
      <c r="B54" t="s">
        <v>51</v>
      </c>
      <c r="C54">
        <v>22</v>
      </c>
      <c r="E54" t="s">
        <v>70</v>
      </c>
    </row>
    <row r="55" spans="1:5" x14ac:dyDescent="0.3">
      <c r="A55" s="40">
        <v>42876.603492152775</v>
      </c>
      <c r="B55" t="s">
        <v>54</v>
      </c>
      <c r="C55">
        <v>29</v>
      </c>
      <c r="E55" t="s">
        <v>70</v>
      </c>
    </row>
    <row r="56" spans="1:5" x14ac:dyDescent="0.3">
      <c r="A56" s="40">
        <v>42877.29025489583</v>
      </c>
      <c r="B56" t="s">
        <v>55</v>
      </c>
      <c r="C56">
        <v>11</v>
      </c>
      <c r="E56" t="s">
        <v>70</v>
      </c>
    </row>
    <row r="57" spans="1:5" x14ac:dyDescent="0.3">
      <c r="A57" s="40">
        <v>42884.919297210647</v>
      </c>
      <c r="B57" t="s">
        <v>56</v>
      </c>
      <c r="C57">
        <v>40</v>
      </c>
      <c r="E57" t="s">
        <v>69</v>
      </c>
    </row>
    <row r="58" spans="1:5" x14ac:dyDescent="0.3">
      <c r="A58" s="40">
        <v>42887.959220300923</v>
      </c>
      <c r="B58" t="s">
        <v>52</v>
      </c>
      <c r="C58">
        <v>28</v>
      </c>
      <c r="E58" t="s">
        <v>71</v>
      </c>
    </row>
    <row r="59" spans="1:5" x14ac:dyDescent="0.3">
      <c r="A59" s="40">
        <v>42890.909771365739</v>
      </c>
      <c r="B59" t="s">
        <v>51</v>
      </c>
      <c r="C59">
        <v>20</v>
      </c>
      <c r="E59" t="s">
        <v>71</v>
      </c>
    </row>
    <row r="60" spans="1:5" x14ac:dyDescent="0.3">
      <c r="A60" s="40">
        <v>42908.185525358793</v>
      </c>
      <c r="B60" t="s">
        <v>61</v>
      </c>
      <c r="C60">
        <v>27</v>
      </c>
      <c r="E60" t="s">
        <v>69</v>
      </c>
    </row>
    <row r="61" spans="1:5" x14ac:dyDescent="0.3">
      <c r="A61" s="40">
        <v>42929.758683437503</v>
      </c>
      <c r="B61" t="s">
        <v>59</v>
      </c>
      <c r="C61">
        <v>18</v>
      </c>
      <c r="E61" t="s">
        <v>71</v>
      </c>
    </row>
    <row r="62" spans="1:5" x14ac:dyDescent="0.3">
      <c r="A62" s="40">
        <v>42935.416786145834</v>
      </c>
      <c r="B62" t="s">
        <v>59</v>
      </c>
      <c r="C62">
        <v>28</v>
      </c>
      <c r="E62" t="s">
        <v>70</v>
      </c>
    </row>
    <row r="63" spans="1:5" x14ac:dyDescent="0.3">
      <c r="A63" s="40">
        <v>42938.965791458337</v>
      </c>
      <c r="B63" t="s">
        <v>53</v>
      </c>
      <c r="C63">
        <v>38</v>
      </c>
      <c r="E63" t="s">
        <v>70</v>
      </c>
    </row>
    <row r="64" spans="1:5" x14ac:dyDescent="0.3">
      <c r="A64" s="40">
        <v>42947.778304467596</v>
      </c>
      <c r="B64" t="s">
        <v>51</v>
      </c>
      <c r="C64">
        <v>29</v>
      </c>
      <c r="E64" t="s">
        <v>70</v>
      </c>
    </row>
    <row r="65" spans="1:5" x14ac:dyDescent="0.3">
      <c r="A65" s="40">
        <v>42956.184174594906</v>
      </c>
      <c r="B65" t="s">
        <v>54</v>
      </c>
      <c r="C65">
        <v>33</v>
      </c>
      <c r="E65" t="s">
        <v>70</v>
      </c>
    </row>
    <row r="66" spans="1:5" x14ac:dyDescent="0.3">
      <c r="A66" s="40">
        <v>42960.26899084491</v>
      </c>
      <c r="B66" t="s">
        <v>55</v>
      </c>
      <c r="C66">
        <v>25</v>
      </c>
      <c r="E66" t="s">
        <v>69</v>
      </c>
    </row>
    <row r="67" spans="1:5" x14ac:dyDescent="0.3">
      <c r="A67" s="40">
        <v>42969.714638530095</v>
      </c>
      <c r="B67" t="s">
        <v>59</v>
      </c>
      <c r="C67">
        <v>30</v>
      </c>
      <c r="E67" t="s">
        <v>69</v>
      </c>
    </row>
    <row r="68" spans="1:5" x14ac:dyDescent="0.3">
      <c r="A68" s="40">
        <v>42971.137485011575</v>
      </c>
      <c r="B68" t="s">
        <v>59</v>
      </c>
      <c r="C68">
        <v>40</v>
      </c>
      <c r="E68" t="s">
        <v>69</v>
      </c>
    </row>
    <row r="69" spans="1:5" x14ac:dyDescent="0.3">
      <c r="A69" s="40">
        <v>42973.106403136575</v>
      </c>
      <c r="B69" t="s">
        <v>51</v>
      </c>
      <c r="C69">
        <v>13</v>
      </c>
      <c r="E69" t="s">
        <v>69</v>
      </c>
    </row>
    <row r="70" spans="1:5" x14ac:dyDescent="0.3">
      <c r="A70" s="40">
        <v>42982.823433900463</v>
      </c>
      <c r="B70" t="s">
        <v>52</v>
      </c>
      <c r="C70">
        <v>20</v>
      </c>
      <c r="E70" t="s">
        <v>70</v>
      </c>
    </row>
    <row r="71" spans="1:5" x14ac:dyDescent="0.3">
      <c r="A71" s="40">
        <v>42986.473383807868</v>
      </c>
      <c r="B71" t="s">
        <v>49</v>
      </c>
      <c r="C71">
        <v>27</v>
      </c>
      <c r="E71" t="s">
        <v>71</v>
      </c>
    </row>
    <row r="72" spans="1:5" x14ac:dyDescent="0.3">
      <c r="A72" s="40">
        <v>42992.620621724534</v>
      </c>
      <c r="B72" t="s">
        <v>53</v>
      </c>
      <c r="C72">
        <v>32</v>
      </c>
      <c r="E72" t="s">
        <v>71</v>
      </c>
    </row>
    <row r="73" spans="1:5" x14ac:dyDescent="0.3">
      <c r="A73" s="40">
        <v>43009.998540717592</v>
      </c>
      <c r="B73" t="s">
        <v>54</v>
      </c>
      <c r="C73">
        <v>29</v>
      </c>
      <c r="E73" t="s">
        <v>71</v>
      </c>
    </row>
    <row r="74" spans="1:5" x14ac:dyDescent="0.3">
      <c r="A74" s="40">
        <v>43015.480833657406</v>
      </c>
      <c r="B74" t="s">
        <v>50</v>
      </c>
      <c r="C74">
        <v>23</v>
      </c>
      <c r="E74" t="s">
        <v>70</v>
      </c>
    </row>
    <row r="75" spans="1:5" x14ac:dyDescent="0.3">
      <c r="A75" s="40">
        <v>43023.421094444442</v>
      </c>
      <c r="B75" t="s">
        <v>49</v>
      </c>
      <c r="C75">
        <v>21</v>
      </c>
      <c r="E75" t="s">
        <v>70</v>
      </c>
    </row>
    <row r="76" spans="1:5" x14ac:dyDescent="0.3">
      <c r="A76" s="40">
        <v>43039.425224814811</v>
      </c>
      <c r="B76" t="s">
        <v>52</v>
      </c>
      <c r="C76">
        <v>23</v>
      </c>
      <c r="E76" t="s">
        <v>70</v>
      </c>
    </row>
    <row r="77" spans="1:5" x14ac:dyDescent="0.3">
      <c r="A77" s="40">
        <v>43052.640267511575</v>
      </c>
      <c r="B77" t="s">
        <v>58</v>
      </c>
      <c r="C77">
        <v>18</v>
      </c>
      <c r="E77" t="s">
        <v>70</v>
      </c>
    </row>
    <row r="78" spans="1:5" x14ac:dyDescent="0.3">
      <c r="A78" s="40">
        <v>43055.255951377316</v>
      </c>
      <c r="B78" t="s">
        <v>55</v>
      </c>
      <c r="C78">
        <v>32</v>
      </c>
      <c r="E78" t="s">
        <v>70</v>
      </c>
    </row>
    <row r="79" spans="1:5" x14ac:dyDescent="0.3">
      <c r="A79" s="40">
        <v>43058.041558703706</v>
      </c>
      <c r="B79" t="s">
        <v>59</v>
      </c>
      <c r="C79">
        <v>30</v>
      </c>
      <c r="E79" t="s">
        <v>70</v>
      </c>
    </row>
    <row r="80" spans="1:5" x14ac:dyDescent="0.3">
      <c r="A80" s="40">
        <v>43064.780008668982</v>
      </c>
      <c r="B80" t="s">
        <v>58</v>
      </c>
      <c r="C80">
        <v>14</v>
      </c>
      <c r="E80" t="s">
        <v>69</v>
      </c>
    </row>
    <row r="81" spans="1:5" x14ac:dyDescent="0.3">
      <c r="A81" s="40">
        <v>43078.337569571762</v>
      </c>
      <c r="B81" t="s">
        <v>59</v>
      </c>
      <c r="C81">
        <v>20</v>
      </c>
      <c r="E81" t="s">
        <v>71</v>
      </c>
    </row>
    <row r="82" spans="1:5" x14ac:dyDescent="0.3">
      <c r="A82" s="40">
        <v>43087.763155347224</v>
      </c>
      <c r="B82" t="s">
        <v>54</v>
      </c>
      <c r="C82">
        <v>36</v>
      </c>
      <c r="E82" t="s">
        <v>70</v>
      </c>
    </row>
    <row r="83" spans="1:5" x14ac:dyDescent="0.3">
      <c r="A83" s="40">
        <v>43098.951082650463</v>
      </c>
      <c r="B83" t="s">
        <v>58</v>
      </c>
      <c r="C83">
        <v>31</v>
      </c>
      <c r="E83" t="s">
        <v>70</v>
      </c>
    </row>
    <row r="84" spans="1:5" x14ac:dyDescent="0.3">
      <c r="A84" s="40">
        <v>43099.42799689815</v>
      </c>
      <c r="B84" t="s">
        <v>59</v>
      </c>
      <c r="C84">
        <v>31</v>
      </c>
      <c r="E84" t="s">
        <v>70</v>
      </c>
    </row>
    <row r="85" spans="1:5" x14ac:dyDescent="0.3">
      <c r="A85" s="40">
        <v>43107.713158171297</v>
      </c>
      <c r="B85" t="s">
        <v>59</v>
      </c>
      <c r="C85">
        <v>27</v>
      </c>
      <c r="E85" t="s">
        <v>70</v>
      </c>
    </row>
    <row r="86" spans="1:5" x14ac:dyDescent="0.3">
      <c r="A86" s="40">
        <v>43122.395711874997</v>
      </c>
      <c r="B86" t="s">
        <v>55</v>
      </c>
      <c r="C86">
        <v>20</v>
      </c>
      <c r="E86" t="s">
        <v>69</v>
      </c>
    </row>
    <row r="87" spans="1:5" x14ac:dyDescent="0.3">
      <c r="A87" s="40">
        <v>43124.114366111113</v>
      </c>
      <c r="B87" t="s">
        <v>59</v>
      </c>
      <c r="C87">
        <v>22</v>
      </c>
      <c r="E87" t="s">
        <v>71</v>
      </c>
    </row>
    <row r="88" spans="1:5" x14ac:dyDescent="0.3">
      <c r="A88" s="40">
        <v>43135.537289409724</v>
      </c>
      <c r="B88" t="s">
        <v>56</v>
      </c>
      <c r="C88">
        <v>10</v>
      </c>
      <c r="E88" t="s">
        <v>70</v>
      </c>
    </row>
    <row r="89" spans="1:5" x14ac:dyDescent="0.3">
      <c r="A89" s="40">
        <v>43135.589923530089</v>
      </c>
      <c r="B89" t="s">
        <v>55</v>
      </c>
      <c r="C89">
        <v>21</v>
      </c>
      <c r="E89" t="s">
        <v>71</v>
      </c>
    </row>
    <row r="90" spans="1:5" x14ac:dyDescent="0.3">
      <c r="A90" s="40">
        <v>43155.143971956022</v>
      </c>
      <c r="B90" t="s">
        <v>56</v>
      </c>
      <c r="C90">
        <v>11</v>
      </c>
      <c r="E90" t="s">
        <v>69</v>
      </c>
    </row>
    <row r="91" spans="1:5" x14ac:dyDescent="0.3">
      <c r="A91" s="40">
        <v>43156.488717476852</v>
      </c>
      <c r="B91" t="s">
        <v>56</v>
      </c>
      <c r="C91">
        <v>10</v>
      </c>
      <c r="E91" t="s">
        <v>70</v>
      </c>
    </row>
    <row r="92" spans="1:5" x14ac:dyDescent="0.3">
      <c r="A92" s="40">
        <v>43162.09049480324</v>
      </c>
      <c r="B92" t="s">
        <v>60</v>
      </c>
      <c r="C92">
        <v>24</v>
      </c>
      <c r="E92" t="s">
        <v>70</v>
      </c>
    </row>
    <row r="93" spans="1:5" x14ac:dyDescent="0.3">
      <c r="A93" s="40">
        <v>43189.794962199077</v>
      </c>
      <c r="B93" t="s">
        <v>50</v>
      </c>
      <c r="C93">
        <v>12</v>
      </c>
      <c r="E93" t="s">
        <v>70</v>
      </c>
    </row>
    <row r="94" spans="1:5" x14ac:dyDescent="0.3">
      <c r="A94" s="40">
        <v>43194.56056096065</v>
      </c>
      <c r="B94" t="s">
        <v>56</v>
      </c>
      <c r="C94">
        <v>35</v>
      </c>
      <c r="E94" t="s">
        <v>70</v>
      </c>
    </row>
    <row r="95" spans="1:5" x14ac:dyDescent="0.3">
      <c r="A95" s="40">
        <v>43195.481773472224</v>
      </c>
      <c r="B95" t="s">
        <v>55</v>
      </c>
      <c r="C95">
        <v>33</v>
      </c>
      <c r="E95" t="s">
        <v>70</v>
      </c>
    </row>
    <row r="96" spans="1:5" x14ac:dyDescent="0.3">
      <c r="A96" s="40">
        <v>43199.222573865743</v>
      </c>
      <c r="B96" t="s">
        <v>51</v>
      </c>
      <c r="C96">
        <v>28</v>
      </c>
      <c r="E96" t="s">
        <v>69</v>
      </c>
    </row>
    <row r="97" spans="1:5" x14ac:dyDescent="0.3">
      <c r="A97" s="40">
        <v>43212.240397499998</v>
      </c>
      <c r="B97" t="s">
        <v>51</v>
      </c>
      <c r="C97">
        <v>29</v>
      </c>
      <c r="E97" t="s">
        <v>69</v>
      </c>
    </row>
    <row r="98" spans="1:5" x14ac:dyDescent="0.3">
      <c r="A98" s="40">
        <v>43228.962223622686</v>
      </c>
      <c r="B98" t="s">
        <v>55</v>
      </c>
      <c r="C98">
        <v>19</v>
      </c>
      <c r="E98" t="s">
        <v>70</v>
      </c>
    </row>
    <row r="99" spans="1:5" x14ac:dyDescent="0.3">
      <c r="A99" s="40">
        <v>43231.192809097221</v>
      </c>
      <c r="B99" t="s">
        <v>51</v>
      </c>
      <c r="C99">
        <v>16</v>
      </c>
      <c r="E99" t="s">
        <v>69</v>
      </c>
    </row>
    <row r="100" spans="1:5" x14ac:dyDescent="0.3">
      <c r="A100" s="40">
        <v>43238.897952199077</v>
      </c>
      <c r="B100" t="s">
        <v>58</v>
      </c>
      <c r="C100">
        <v>21</v>
      </c>
      <c r="E100" t="s">
        <v>70</v>
      </c>
    </row>
    <row r="101" spans="1:5" x14ac:dyDescent="0.3">
      <c r="A101" s="40">
        <v>43250.33770246528</v>
      </c>
      <c r="B101" t="s">
        <v>60</v>
      </c>
      <c r="C101">
        <v>38</v>
      </c>
      <c r="E101" t="s">
        <v>70</v>
      </c>
    </row>
    <row r="102" spans="1:5" x14ac:dyDescent="0.3">
      <c r="A102" s="40">
        <v>43250.590500578706</v>
      </c>
      <c r="B102" t="s">
        <v>49</v>
      </c>
      <c r="C102">
        <v>25</v>
      </c>
      <c r="E102" t="s">
        <v>69</v>
      </c>
    </row>
    <row r="103" spans="1:5" x14ac:dyDescent="0.3">
      <c r="A103" s="40">
        <v>43252.510815057867</v>
      </c>
      <c r="B103" t="s">
        <v>54</v>
      </c>
      <c r="C103">
        <v>35</v>
      </c>
      <c r="E103" t="s">
        <v>69</v>
      </c>
    </row>
    <row r="104" spans="1:5" x14ac:dyDescent="0.3">
      <c r="A104" s="40">
        <v>43272.866184571758</v>
      </c>
      <c r="B104" t="s">
        <v>50</v>
      </c>
      <c r="C104">
        <v>22</v>
      </c>
      <c r="E104" t="s">
        <v>70</v>
      </c>
    </row>
    <row r="105" spans="1:5" x14ac:dyDescent="0.3">
      <c r="A105" s="40">
        <v>43279.964496446759</v>
      </c>
      <c r="B105" t="s">
        <v>54</v>
      </c>
      <c r="C105">
        <v>26</v>
      </c>
      <c r="E105" t="s">
        <v>71</v>
      </c>
    </row>
    <row r="106" spans="1:5" x14ac:dyDescent="0.3">
      <c r="A106" s="40">
        <v>43290.501882303244</v>
      </c>
      <c r="B106" t="s">
        <v>61</v>
      </c>
      <c r="C106">
        <v>14</v>
      </c>
      <c r="E106" t="s">
        <v>70</v>
      </c>
    </row>
    <row r="107" spans="1:5" x14ac:dyDescent="0.3">
      <c r="A107" s="40">
        <v>43293.887583009258</v>
      </c>
      <c r="B107" t="s">
        <v>50</v>
      </c>
      <c r="C107">
        <v>11</v>
      </c>
      <c r="E107" t="s">
        <v>69</v>
      </c>
    </row>
    <row r="108" spans="1:5" x14ac:dyDescent="0.3">
      <c r="A108" s="40">
        <v>43296.650509317129</v>
      </c>
      <c r="B108" t="s">
        <v>59</v>
      </c>
      <c r="C108">
        <v>21</v>
      </c>
      <c r="E108" t="s">
        <v>71</v>
      </c>
    </row>
    <row r="109" spans="1:5" x14ac:dyDescent="0.3">
      <c r="A109" s="40">
        <v>43314.23319767361</v>
      </c>
      <c r="B109" t="s">
        <v>58</v>
      </c>
      <c r="C109">
        <v>14</v>
      </c>
      <c r="E109" t="s">
        <v>70</v>
      </c>
    </row>
    <row r="110" spans="1:5" x14ac:dyDescent="0.3">
      <c r="A110" s="40">
        <v>43324.521243657407</v>
      </c>
      <c r="B110" t="s">
        <v>61</v>
      </c>
      <c r="C110">
        <v>27</v>
      </c>
      <c r="E110" t="s">
        <v>71</v>
      </c>
    </row>
    <row r="111" spans="1:5" x14ac:dyDescent="0.3">
      <c r="A111" s="40">
        <v>43326.432199108793</v>
      </c>
      <c r="B111" t="s">
        <v>61</v>
      </c>
      <c r="C111">
        <v>23</v>
      </c>
      <c r="E111" t="s">
        <v>71</v>
      </c>
    </row>
    <row r="112" spans="1:5" x14ac:dyDescent="0.3">
      <c r="A112" s="40">
        <v>43338.246214166669</v>
      </c>
      <c r="B112" t="s">
        <v>59</v>
      </c>
      <c r="C112">
        <v>21</v>
      </c>
      <c r="E112" t="s">
        <v>69</v>
      </c>
    </row>
    <row r="113" spans="1:5" x14ac:dyDescent="0.3">
      <c r="A113" s="40">
        <v>43342.19654730324</v>
      </c>
      <c r="B113" t="s">
        <v>50</v>
      </c>
      <c r="C113">
        <v>23</v>
      </c>
      <c r="E113" t="s">
        <v>70</v>
      </c>
    </row>
    <row r="114" spans="1:5" x14ac:dyDescent="0.3">
      <c r="A114" s="40">
        <v>43351.671555833331</v>
      </c>
      <c r="B114" t="s">
        <v>50</v>
      </c>
      <c r="C114">
        <v>17</v>
      </c>
      <c r="E114" t="s">
        <v>69</v>
      </c>
    </row>
    <row r="115" spans="1:5" x14ac:dyDescent="0.3">
      <c r="A115" s="40">
        <v>43363.973410706021</v>
      </c>
      <c r="B115" t="s">
        <v>51</v>
      </c>
      <c r="C115">
        <v>12</v>
      </c>
      <c r="E115" t="s">
        <v>70</v>
      </c>
    </row>
    <row r="116" spans="1:5" x14ac:dyDescent="0.3">
      <c r="A116" s="40">
        <v>43379.457328414355</v>
      </c>
      <c r="B116" t="s">
        <v>52</v>
      </c>
      <c r="C116">
        <v>17</v>
      </c>
      <c r="E116" t="s">
        <v>69</v>
      </c>
    </row>
    <row r="117" spans="1:5" x14ac:dyDescent="0.3">
      <c r="A117" s="40">
        <v>43383.345915590275</v>
      </c>
      <c r="B117" t="s">
        <v>60</v>
      </c>
      <c r="C117">
        <v>37</v>
      </c>
      <c r="E117" t="s">
        <v>69</v>
      </c>
    </row>
    <row r="118" spans="1:5" x14ac:dyDescent="0.3">
      <c r="A118" s="40">
        <v>43391.824987812499</v>
      </c>
      <c r="B118" t="s">
        <v>58</v>
      </c>
      <c r="C118">
        <v>21</v>
      </c>
      <c r="E118" t="s">
        <v>69</v>
      </c>
    </row>
    <row r="119" spans="1:5" x14ac:dyDescent="0.3">
      <c r="A119" s="40">
        <v>43396.984761712964</v>
      </c>
      <c r="B119" t="s">
        <v>52</v>
      </c>
      <c r="C119">
        <v>39</v>
      </c>
      <c r="E119" t="s">
        <v>69</v>
      </c>
    </row>
    <row r="120" spans="1:5" x14ac:dyDescent="0.3">
      <c r="A120" s="40">
        <v>43408.647405127318</v>
      </c>
      <c r="B120" t="s">
        <v>59</v>
      </c>
      <c r="C120">
        <v>12</v>
      </c>
      <c r="E120" t="s">
        <v>70</v>
      </c>
    </row>
    <row r="121" spans="1:5" x14ac:dyDescent="0.3">
      <c r="A121" s="40">
        <v>43412.747276909722</v>
      </c>
      <c r="B121" t="s">
        <v>51</v>
      </c>
      <c r="C121">
        <v>21</v>
      </c>
      <c r="E121" t="s">
        <v>71</v>
      </c>
    </row>
    <row r="122" spans="1:5" x14ac:dyDescent="0.3">
      <c r="A122" s="40">
        <v>43423.802943738425</v>
      </c>
      <c r="B122" t="s">
        <v>51</v>
      </c>
      <c r="C122">
        <v>37</v>
      </c>
      <c r="E122" t="s">
        <v>71</v>
      </c>
    </row>
    <row r="123" spans="1:5" x14ac:dyDescent="0.3">
      <c r="A123" s="40">
        <v>43457.203018842592</v>
      </c>
      <c r="B123" t="s">
        <v>51</v>
      </c>
      <c r="C123">
        <v>25</v>
      </c>
      <c r="E123" t="s">
        <v>71</v>
      </c>
    </row>
    <row r="124" spans="1:5" x14ac:dyDescent="0.3">
      <c r="A124" s="40">
        <v>43466.824584374997</v>
      </c>
      <c r="B124" t="s">
        <v>56</v>
      </c>
      <c r="C124">
        <v>24</v>
      </c>
      <c r="E124" t="s">
        <v>70</v>
      </c>
    </row>
    <row r="125" spans="1:5" x14ac:dyDescent="0.3">
      <c r="A125" s="40">
        <v>43472.749503333333</v>
      </c>
      <c r="B125" t="s">
        <v>60</v>
      </c>
      <c r="C125">
        <v>30</v>
      </c>
      <c r="E125" t="s">
        <v>70</v>
      </c>
    </row>
    <row r="126" spans="1:5" x14ac:dyDescent="0.3">
      <c r="A126" s="40">
        <v>43496.826050706019</v>
      </c>
      <c r="B126" t="s">
        <v>60</v>
      </c>
      <c r="C126">
        <v>23</v>
      </c>
      <c r="E126" t="s">
        <v>70</v>
      </c>
    </row>
    <row r="127" spans="1:5" x14ac:dyDescent="0.3">
      <c r="A127" s="40">
        <v>43504.536149583335</v>
      </c>
      <c r="B127" t="s">
        <v>49</v>
      </c>
      <c r="C127">
        <v>16</v>
      </c>
      <c r="E127" t="s">
        <v>70</v>
      </c>
    </row>
    <row r="128" spans="1:5" x14ac:dyDescent="0.3">
      <c r="A128" s="40">
        <v>43527.204560706021</v>
      </c>
      <c r="B128" t="s">
        <v>56</v>
      </c>
      <c r="C128">
        <v>19</v>
      </c>
      <c r="E128" t="s">
        <v>70</v>
      </c>
    </row>
    <row r="129" spans="1:5" x14ac:dyDescent="0.3">
      <c r="A129" s="40">
        <v>43537.717709375</v>
      </c>
      <c r="B129" t="s">
        <v>52</v>
      </c>
      <c r="C129">
        <v>26</v>
      </c>
      <c r="E129" t="s">
        <v>70</v>
      </c>
    </row>
    <row r="130" spans="1:5" x14ac:dyDescent="0.3">
      <c r="A130" s="40">
        <v>43545.756617824074</v>
      </c>
      <c r="B130" t="s">
        <v>59</v>
      </c>
      <c r="C130">
        <v>29</v>
      </c>
      <c r="E130" t="s">
        <v>69</v>
      </c>
    </row>
    <row r="131" spans="1:5" x14ac:dyDescent="0.3">
      <c r="A131" s="40">
        <v>43547.423736331017</v>
      </c>
      <c r="B131" t="s">
        <v>49</v>
      </c>
      <c r="C131">
        <v>36</v>
      </c>
      <c r="E131" t="s">
        <v>71</v>
      </c>
    </row>
    <row r="132" spans="1:5" x14ac:dyDescent="0.3">
      <c r="A132" s="40">
        <v>43576.836745277775</v>
      </c>
      <c r="B132" t="s">
        <v>54</v>
      </c>
      <c r="C132">
        <v>29</v>
      </c>
      <c r="E132" t="s">
        <v>70</v>
      </c>
    </row>
    <row r="133" spans="1:5" x14ac:dyDescent="0.3">
      <c r="A133" s="40">
        <v>43576.995335960652</v>
      </c>
      <c r="B133" t="s">
        <v>49</v>
      </c>
      <c r="C133">
        <v>22</v>
      </c>
      <c r="E133" t="s">
        <v>70</v>
      </c>
    </row>
    <row r="134" spans="1:5" x14ac:dyDescent="0.3">
      <c r="A134" s="40">
        <v>43591.95349190972</v>
      </c>
      <c r="B134" t="s">
        <v>54</v>
      </c>
      <c r="C134">
        <v>17</v>
      </c>
      <c r="E134" t="s">
        <v>70</v>
      </c>
    </row>
    <row r="135" spans="1:5" x14ac:dyDescent="0.3">
      <c r="A135" s="40">
        <v>43625.355065902775</v>
      </c>
      <c r="B135" t="s">
        <v>51</v>
      </c>
      <c r="C135">
        <v>17</v>
      </c>
      <c r="E135" t="s">
        <v>70</v>
      </c>
    </row>
    <row r="136" spans="1:5" x14ac:dyDescent="0.3">
      <c r="A136" s="40">
        <v>43628.571925023149</v>
      </c>
      <c r="B136" t="s">
        <v>58</v>
      </c>
      <c r="C136">
        <v>16</v>
      </c>
      <c r="E136" t="s">
        <v>69</v>
      </c>
    </row>
    <row r="137" spans="1:5" x14ac:dyDescent="0.3">
      <c r="A137" s="40">
        <v>43647.422387812498</v>
      </c>
      <c r="B137" t="s">
        <v>54</v>
      </c>
      <c r="C137">
        <v>25</v>
      </c>
      <c r="E137" t="s">
        <v>71</v>
      </c>
    </row>
    <row r="138" spans="1:5" x14ac:dyDescent="0.3">
      <c r="A138" s="40">
        <v>43648.829930254629</v>
      </c>
      <c r="B138" t="s">
        <v>52</v>
      </c>
      <c r="C138">
        <v>27</v>
      </c>
      <c r="E138" t="s">
        <v>70</v>
      </c>
    </row>
    <row r="139" spans="1:5" x14ac:dyDescent="0.3">
      <c r="A139" s="40">
        <v>43674.156896261571</v>
      </c>
      <c r="B139" t="s">
        <v>54</v>
      </c>
      <c r="C139">
        <v>11</v>
      </c>
      <c r="E139" t="s">
        <v>71</v>
      </c>
    </row>
    <row r="140" spans="1:5" x14ac:dyDescent="0.3">
      <c r="A140" s="40">
        <v>43684.85096729167</v>
      </c>
      <c r="B140" t="s">
        <v>49</v>
      </c>
      <c r="C140">
        <v>27</v>
      </c>
      <c r="E140" t="s">
        <v>69</v>
      </c>
    </row>
    <row r="141" spans="1:5" x14ac:dyDescent="0.3">
      <c r="A141" s="40">
        <v>43738.562952546294</v>
      </c>
      <c r="B141" t="s">
        <v>54</v>
      </c>
      <c r="C141">
        <v>35</v>
      </c>
      <c r="E141" t="s">
        <v>70</v>
      </c>
    </row>
    <row r="142" spans="1:5" x14ac:dyDescent="0.3">
      <c r="A142" s="40">
        <v>43741.368715937497</v>
      </c>
      <c r="B142" t="s">
        <v>52</v>
      </c>
      <c r="C142">
        <v>15</v>
      </c>
      <c r="E142" t="s">
        <v>70</v>
      </c>
    </row>
    <row r="143" spans="1:5" x14ac:dyDescent="0.3">
      <c r="A143" s="40">
        <v>43741.425788136577</v>
      </c>
      <c r="B143" t="s">
        <v>52</v>
      </c>
      <c r="C143">
        <v>31</v>
      </c>
      <c r="E143" t="s">
        <v>70</v>
      </c>
    </row>
    <row r="144" spans="1:5" x14ac:dyDescent="0.3">
      <c r="A144" s="40">
        <v>43750.994055324074</v>
      </c>
      <c r="B144" t="s">
        <v>52</v>
      </c>
      <c r="C144">
        <v>30</v>
      </c>
      <c r="E144" t="s">
        <v>69</v>
      </c>
    </row>
    <row r="145" spans="1:5" x14ac:dyDescent="0.3">
      <c r="A145" s="40">
        <v>43763.014928136574</v>
      </c>
      <c r="B145" t="s">
        <v>59</v>
      </c>
      <c r="C145">
        <v>35</v>
      </c>
      <c r="E145" t="s">
        <v>70</v>
      </c>
    </row>
    <row r="146" spans="1:5" x14ac:dyDescent="0.3">
      <c r="A146" s="40">
        <v>43780.059240196759</v>
      </c>
      <c r="B146" t="s">
        <v>52</v>
      </c>
      <c r="C146">
        <v>22</v>
      </c>
      <c r="E146" t="s">
        <v>71</v>
      </c>
    </row>
    <row r="147" spans="1:5" x14ac:dyDescent="0.3">
      <c r="A147" s="40">
        <v>43801.671702962965</v>
      </c>
      <c r="B147" t="s">
        <v>53</v>
      </c>
      <c r="C147">
        <v>19</v>
      </c>
      <c r="E147" t="s">
        <v>70</v>
      </c>
    </row>
    <row r="148" spans="1:5" x14ac:dyDescent="0.3">
      <c r="A148" s="40">
        <v>43804.288205740741</v>
      </c>
      <c r="B148" t="s">
        <v>58</v>
      </c>
      <c r="C148">
        <v>30</v>
      </c>
      <c r="E148" t="s">
        <v>69</v>
      </c>
    </row>
    <row r="149" spans="1:5" x14ac:dyDescent="0.3">
      <c r="A149" s="40">
        <v>43808.609502743057</v>
      </c>
      <c r="B149" t="s">
        <v>59</v>
      </c>
      <c r="C149">
        <v>31</v>
      </c>
      <c r="E149" t="s">
        <v>71</v>
      </c>
    </row>
    <row r="150" spans="1:5" x14ac:dyDescent="0.3">
      <c r="A150" s="40">
        <v>43812.489190740744</v>
      </c>
      <c r="B150" t="s">
        <v>49</v>
      </c>
      <c r="C150">
        <v>40</v>
      </c>
      <c r="E150" t="s">
        <v>70</v>
      </c>
    </row>
    <row r="151" spans="1:5" x14ac:dyDescent="0.3">
      <c r="A151" s="40">
        <v>43816.556806203705</v>
      </c>
      <c r="B151" t="s">
        <v>49</v>
      </c>
      <c r="C151">
        <v>24</v>
      </c>
      <c r="E151" t="s">
        <v>71</v>
      </c>
    </row>
    <row r="152" spans="1:5" x14ac:dyDescent="0.3">
      <c r="A152" s="40">
        <v>43826.354724016201</v>
      </c>
      <c r="B152" t="s">
        <v>49</v>
      </c>
      <c r="C152">
        <v>14</v>
      </c>
      <c r="E152" t="s">
        <v>71</v>
      </c>
    </row>
    <row r="153" spans="1:5" x14ac:dyDescent="0.3">
      <c r="A153" s="40">
        <v>43826.880375300927</v>
      </c>
      <c r="B153" t="s">
        <v>59</v>
      </c>
      <c r="C153">
        <v>30</v>
      </c>
      <c r="E153" t="s">
        <v>69</v>
      </c>
    </row>
    <row r="154" spans="1:5" x14ac:dyDescent="0.3">
      <c r="A154" s="40">
        <v>43830.135047222226</v>
      </c>
      <c r="B154" t="s">
        <v>58</v>
      </c>
      <c r="C154">
        <v>31</v>
      </c>
      <c r="E154" t="s">
        <v>70</v>
      </c>
    </row>
    <row r="155" spans="1:5" x14ac:dyDescent="0.3">
      <c r="A155" s="40">
        <v>43837.134141747687</v>
      </c>
      <c r="B155" t="s">
        <v>61</v>
      </c>
      <c r="C155">
        <v>31</v>
      </c>
      <c r="E155" t="s">
        <v>69</v>
      </c>
    </row>
    <row r="156" spans="1:5" x14ac:dyDescent="0.3">
      <c r="A156" s="40">
        <v>43839.555840486108</v>
      </c>
      <c r="B156" t="s">
        <v>52</v>
      </c>
      <c r="C156">
        <v>29</v>
      </c>
      <c r="E156" t="s">
        <v>70</v>
      </c>
    </row>
    <row r="157" spans="1:5" x14ac:dyDescent="0.3">
      <c r="A157" s="40">
        <v>43844.502089583337</v>
      </c>
      <c r="B157" t="s">
        <v>59</v>
      </c>
      <c r="C157">
        <v>23</v>
      </c>
      <c r="E157" t="s">
        <v>69</v>
      </c>
    </row>
    <row r="158" spans="1:5" x14ac:dyDescent="0.3">
      <c r="A158" s="40">
        <v>43848.757118275462</v>
      </c>
      <c r="B158" t="s">
        <v>52</v>
      </c>
      <c r="C158">
        <v>12</v>
      </c>
      <c r="E158" t="s">
        <v>69</v>
      </c>
    </row>
    <row r="159" spans="1:5" x14ac:dyDescent="0.3">
      <c r="A159" s="40">
        <v>43852.34172236111</v>
      </c>
      <c r="B159" t="s">
        <v>56</v>
      </c>
      <c r="C159">
        <v>21</v>
      </c>
      <c r="E159" t="s">
        <v>69</v>
      </c>
    </row>
    <row r="160" spans="1:5" x14ac:dyDescent="0.3">
      <c r="A160" s="40">
        <v>43857.787139768516</v>
      </c>
      <c r="B160" t="s">
        <v>57</v>
      </c>
      <c r="C160">
        <v>18</v>
      </c>
      <c r="E160" t="s">
        <v>69</v>
      </c>
    </row>
    <row r="161" spans="1:5" x14ac:dyDescent="0.3">
      <c r="A161" s="40">
        <v>43860.43648689815</v>
      </c>
      <c r="B161" t="s">
        <v>51</v>
      </c>
      <c r="C161">
        <v>21</v>
      </c>
      <c r="E161" t="s">
        <v>70</v>
      </c>
    </row>
    <row r="162" spans="1:5" x14ac:dyDescent="0.3">
      <c r="A162" s="40">
        <v>43871.349357395833</v>
      </c>
      <c r="B162" t="s">
        <v>60</v>
      </c>
      <c r="C162">
        <v>13</v>
      </c>
      <c r="E162" t="s">
        <v>71</v>
      </c>
    </row>
    <row r="163" spans="1:5" x14ac:dyDescent="0.3">
      <c r="A163" s="40">
        <v>43878.965655590277</v>
      </c>
      <c r="B163" t="s">
        <v>51</v>
      </c>
      <c r="C163">
        <v>19</v>
      </c>
      <c r="E163" t="s">
        <v>71</v>
      </c>
    </row>
    <row r="164" spans="1:5" x14ac:dyDescent="0.3">
      <c r="A164" s="40">
        <v>43890.791980972223</v>
      </c>
      <c r="B164" t="s">
        <v>54</v>
      </c>
      <c r="C164">
        <v>15</v>
      </c>
      <c r="E164" t="s">
        <v>71</v>
      </c>
    </row>
    <row r="165" spans="1:5" x14ac:dyDescent="0.3">
      <c r="A165" s="40">
        <v>43905.308993645835</v>
      </c>
      <c r="B165" t="s">
        <v>58</v>
      </c>
      <c r="C165">
        <v>14</v>
      </c>
      <c r="E165" t="s">
        <v>70</v>
      </c>
    </row>
    <row r="166" spans="1:5" x14ac:dyDescent="0.3">
      <c r="A166" s="40">
        <v>43909.201555358799</v>
      </c>
      <c r="B166" t="s">
        <v>53</v>
      </c>
      <c r="C166">
        <v>28</v>
      </c>
      <c r="E166" t="s">
        <v>70</v>
      </c>
    </row>
    <row r="167" spans="1:5" x14ac:dyDescent="0.3">
      <c r="A167" s="40">
        <v>43909.950118020832</v>
      </c>
      <c r="B167" t="s">
        <v>51</v>
      </c>
      <c r="C167">
        <v>21</v>
      </c>
      <c r="E167" t="s">
        <v>70</v>
      </c>
    </row>
    <row r="168" spans="1:5" x14ac:dyDescent="0.3">
      <c r="A168" s="40">
        <v>43910.944074490741</v>
      </c>
      <c r="B168" t="s">
        <v>60</v>
      </c>
      <c r="C168">
        <v>22</v>
      </c>
      <c r="E168" t="s">
        <v>70</v>
      </c>
    </row>
    <row r="169" spans="1:5" x14ac:dyDescent="0.3">
      <c r="A169" s="40">
        <v>43947.065467905093</v>
      </c>
      <c r="B169" t="s">
        <v>60</v>
      </c>
      <c r="C169">
        <v>22</v>
      </c>
      <c r="E169" t="s">
        <v>70</v>
      </c>
    </row>
    <row r="170" spans="1:5" x14ac:dyDescent="0.3">
      <c r="A170" s="40">
        <v>43947.654511493056</v>
      </c>
      <c r="B170" t="s">
        <v>54</v>
      </c>
      <c r="C170">
        <v>37</v>
      </c>
      <c r="E170" t="s">
        <v>70</v>
      </c>
    </row>
    <row r="171" spans="1:5" x14ac:dyDescent="0.3">
      <c r="A171" s="40">
        <v>43952.795568819442</v>
      </c>
      <c r="B171" t="s">
        <v>52</v>
      </c>
      <c r="C171">
        <v>33</v>
      </c>
      <c r="E171" t="s">
        <v>69</v>
      </c>
    </row>
    <row r="172" spans="1:5" x14ac:dyDescent="0.3">
      <c r="A172" s="40">
        <v>43958.111629675928</v>
      </c>
      <c r="B172" t="s">
        <v>51</v>
      </c>
      <c r="C172">
        <v>22</v>
      </c>
      <c r="E172" t="s">
        <v>71</v>
      </c>
    </row>
    <row r="173" spans="1:5" x14ac:dyDescent="0.3">
      <c r="A173" s="40">
        <v>43960.888260219908</v>
      </c>
      <c r="B173" t="s">
        <v>52</v>
      </c>
      <c r="C173">
        <v>21</v>
      </c>
      <c r="E173" t="s">
        <v>70</v>
      </c>
    </row>
    <row r="174" spans="1:5" x14ac:dyDescent="0.3">
      <c r="A174" s="40">
        <v>43962.472525543984</v>
      </c>
      <c r="B174" t="s">
        <v>58</v>
      </c>
      <c r="C174">
        <v>17</v>
      </c>
      <c r="E174" t="s">
        <v>70</v>
      </c>
    </row>
    <row r="175" spans="1:5" x14ac:dyDescent="0.3">
      <c r="A175" s="40">
        <v>43975.631173865739</v>
      </c>
      <c r="B175" t="s">
        <v>53</v>
      </c>
      <c r="C175">
        <v>15</v>
      </c>
      <c r="E175" t="s">
        <v>70</v>
      </c>
    </row>
    <row r="176" spans="1:5" x14ac:dyDescent="0.3">
      <c r="A176" s="40">
        <v>43978.499055960645</v>
      </c>
      <c r="B176" t="s">
        <v>51</v>
      </c>
      <c r="C176">
        <v>14</v>
      </c>
      <c r="E176" t="s">
        <v>70</v>
      </c>
    </row>
    <row r="177" spans="1:5" x14ac:dyDescent="0.3">
      <c r="A177" s="40">
        <v>43980.855439953702</v>
      </c>
      <c r="B177" t="s">
        <v>58</v>
      </c>
      <c r="C177">
        <v>20</v>
      </c>
      <c r="E177" t="s">
        <v>69</v>
      </c>
    </row>
    <row r="178" spans="1:5" x14ac:dyDescent="0.3">
      <c r="A178" s="40">
        <v>44008.696552361114</v>
      </c>
      <c r="B178" t="s">
        <v>58</v>
      </c>
      <c r="C178">
        <v>17</v>
      </c>
      <c r="E178" t="s">
        <v>71</v>
      </c>
    </row>
    <row r="179" spans="1:5" x14ac:dyDescent="0.3">
      <c r="A179" s="40">
        <v>44011.226656678242</v>
      </c>
      <c r="B179" t="s">
        <v>60</v>
      </c>
      <c r="C179">
        <v>17</v>
      </c>
      <c r="E179" t="s">
        <v>70</v>
      </c>
    </row>
    <row r="180" spans="1:5" x14ac:dyDescent="0.3">
      <c r="A180" s="40">
        <v>44020.989116157405</v>
      </c>
      <c r="B180" t="s">
        <v>61</v>
      </c>
      <c r="C180">
        <v>31</v>
      </c>
      <c r="E180" t="s">
        <v>71</v>
      </c>
    </row>
    <row r="181" spans="1:5" x14ac:dyDescent="0.3">
      <c r="A181" s="40">
        <v>44037.905377835647</v>
      </c>
      <c r="B181" t="s">
        <v>58</v>
      </c>
      <c r="C181">
        <v>27</v>
      </c>
      <c r="E181" t="s">
        <v>69</v>
      </c>
    </row>
    <row r="182" spans="1:5" x14ac:dyDescent="0.3">
      <c r="A182" s="40">
        <v>44040.66553810185</v>
      </c>
      <c r="B182" t="s">
        <v>52</v>
      </c>
      <c r="C182">
        <v>30</v>
      </c>
      <c r="E182" t="s">
        <v>70</v>
      </c>
    </row>
    <row r="183" spans="1:5" x14ac:dyDescent="0.3">
      <c r="A183" s="40">
        <v>44058.386370671295</v>
      </c>
      <c r="B183" t="s">
        <v>61</v>
      </c>
      <c r="C183">
        <v>18</v>
      </c>
      <c r="E183" t="s">
        <v>70</v>
      </c>
    </row>
    <row r="184" spans="1:5" x14ac:dyDescent="0.3">
      <c r="A184" s="40">
        <v>44063.034004363428</v>
      </c>
      <c r="B184" t="s">
        <v>58</v>
      </c>
      <c r="C184">
        <v>28</v>
      </c>
      <c r="E184" t="s">
        <v>70</v>
      </c>
    </row>
    <row r="185" spans="1:5" x14ac:dyDescent="0.3">
      <c r="A185" s="40">
        <v>44072.889679629632</v>
      </c>
      <c r="B185" t="s">
        <v>50</v>
      </c>
      <c r="C185">
        <v>39</v>
      </c>
      <c r="E185" t="s">
        <v>69</v>
      </c>
    </row>
    <row r="186" spans="1:5" x14ac:dyDescent="0.3">
      <c r="A186" s="40">
        <v>44099.072172499997</v>
      </c>
      <c r="B186" t="s">
        <v>54</v>
      </c>
      <c r="C186">
        <v>40</v>
      </c>
      <c r="E186" t="s">
        <v>70</v>
      </c>
    </row>
    <row r="187" spans="1:5" x14ac:dyDescent="0.3">
      <c r="A187" s="40">
        <v>44108.356999942131</v>
      </c>
      <c r="B187" t="s">
        <v>52</v>
      </c>
      <c r="C187">
        <v>26</v>
      </c>
      <c r="E187" t="s">
        <v>71</v>
      </c>
    </row>
    <row r="188" spans="1:5" x14ac:dyDescent="0.3">
      <c r="A188" s="40">
        <v>44109.94348332176</v>
      </c>
      <c r="B188" t="s">
        <v>50</v>
      </c>
      <c r="C188">
        <v>31</v>
      </c>
      <c r="E188" t="s">
        <v>70</v>
      </c>
    </row>
    <row r="189" spans="1:5" x14ac:dyDescent="0.3">
      <c r="A189" s="40">
        <v>44115.618114097226</v>
      </c>
      <c r="B189" t="s">
        <v>61</v>
      </c>
      <c r="C189">
        <v>12</v>
      </c>
      <c r="E189" t="s">
        <v>69</v>
      </c>
    </row>
    <row r="190" spans="1:5" x14ac:dyDescent="0.3">
      <c r="A190" s="40">
        <v>44122.574855474537</v>
      </c>
      <c r="B190" t="s">
        <v>59</v>
      </c>
      <c r="C190">
        <v>19</v>
      </c>
      <c r="E190" t="s">
        <v>71</v>
      </c>
    </row>
    <row r="191" spans="1:5" x14ac:dyDescent="0.3">
      <c r="A191" s="40">
        <v>44129.243300208334</v>
      </c>
      <c r="B191" t="s">
        <v>59</v>
      </c>
      <c r="C191">
        <v>29</v>
      </c>
      <c r="E191" t="s">
        <v>70</v>
      </c>
    </row>
    <row r="192" spans="1:5" x14ac:dyDescent="0.3">
      <c r="A192" s="40">
        <v>44156.45750355324</v>
      </c>
      <c r="B192" t="s">
        <v>52</v>
      </c>
      <c r="C192">
        <v>28</v>
      </c>
      <c r="E192" t="s">
        <v>71</v>
      </c>
    </row>
    <row r="193" spans="1:5" x14ac:dyDescent="0.3">
      <c r="A193" s="40">
        <v>44160.926838402775</v>
      </c>
      <c r="B193" t="s">
        <v>50</v>
      </c>
      <c r="C193">
        <v>35</v>
      </c>
      <c r="E193" t="s">
        <v>71</v>
      </c>
    </row>
    <row r="194" spans="1:5" x14ac:dyDescent="0.3">
      <c r="A194" s="40">
        <v>44161.649174155093</v>
      </c>
      <c r="B194" t="s">
        <v>56</v>
      </c>
      <c r="C194">
        <v>10</v>
      </c>
      <c r="E194" t="s">
        <v>69</v>
      </c>
    </row>
    <row r="195" spans="1:5" x14ac:dyDescent="0.3">
      <c r="A195" s="40">
        <v>44178.216190798608</v>
      </c>
      <c r="B195" t="s">
        <v>57</v>
      </c>
      <c r="C195">
        <v>18</v>
      </c>
      <c r="E195" t="s">
        <v>70</v>
      </c>
    </row>
    <row r="196" spans="1:5" x14ac:dyDescent="0.3">
      <c r="A196" s="40">
        <v>44184.428186631943</v>
      </c>
      <c r="B196" t="s">
        <v>50</v>
      </c>
      <c r="C196">
        <v>33</v>
      </c>
      <c r="E196" t="s">
        <v>69</v>
      </c>
    </row>
    <row r="197" spans="1:5" x14ac:dyDescent="0.3">
      <c r="A197" s="40">
        <v>44187.523848356483</v>
      </c>
      <c r="B197" t="s">
        <v>49</v>
      </c>
      <c r="C197">
        <v>22</v>
      </c>
      <c r="E197" t="s">
        <v>70</v>
      </c>
    </row>
    <row r="198" spans="1:5" x14ac:dyDescent="0.3">
      <c r="A198" s="40">
        <v>44189.0198584838</v>
      </c>
      <c r="B198" t="s">
        <v>56</v>
      </c>
      <c r="C198">
        <v>18</v>
      </c>
      <c r="E198" t="s">
        <v>69</v>
      </c>
    </row>
    <row r="199" spans="1:5" x14ac:dyDescent="0.3">
      <c r="A199" s="40">
        <v>44195.623997766204</v>
      </c>
      <c r="B199" t="s">
        <v>52</v>
      </c>
      <c r="C199">
        <v>20</v>
      </c>
      <c r="E199" t="s">
        <v>69</v>
      </c>
    </row>
    <row r="200" spans="1:5" x14ac:dyDescent="0.3">
      <c r="A200" s="40">
        <v>44203.02546513889</v>
      </c>
      <c r="B200" t="s">
        <v>52</v>
      </c>
      <c r="C200">
        <v>14</v>
      </c>
      <c r="E200" t="s">
        <v>69</v>
      </c>
    </row>
    <row r="201" spans="1:5" x14ac:dyDescent="0.3">
      <c r="A201" s="40">
        <v>44205.187514664351</v>
      </c>
      <c r="B201" t="s">
        <v>59</v>
      </c>
      <c r="C201">
        <v>13</v>
      </c>
      <c r="E201" t="s">
        <v>69</v>
      </c>
    </row>
    <row r="202" spans="1:5" x14ac:dyDescent="0.3">
      <c r="A202" s="40">
        <v>44207.861115254629</v>
      </c>
      <c r="B202" t="s">
        <v>57</v>
      </c>
      <c r="C202">
        <v>36</v>
      </c>
      <c r="E202" t="s">
        <v>70</v>
      </c>
    </row>
    <row r="203" spans="1:5" x14ac:dyDescent="0.3">
      <c r="A203" s="40">
        <v>44218.993353854166</v>
      </c>
      <c r="B203" t="s">
        <v>49</v>
      </c>
      <c r="C203">
        <v>19</v>
      </c>
      <c r="E203" t="s">
        <v>71</v>
      </c>
    </row>
    <row r="204" spans="1:5" x14ac:dyDescent="0.3">
      <c r="A204" s="40">
        <v>44242.123654618059</v>
      </c>
      <c r="B204" t="s">
        <v>50</v>
      </c>
      <c r="C204">
        <v>16</v>
      </c>
      <c r="E204" t="s">
        <v>71</v>
      </c>
    </row>
    <row r="205" spans="1:5" x14ac:dyDescent="0.3">
      <c r="A205" s="40">
        <v>44245.994954409725</v>
      </c>
      <c r="B205" t="s">
        <v>49</v>
      </c>
      <c r="C205">
        <v>32</v>
      </c>
      <c r="E205" t="s">
        <v>71</v>
      </c>
    </row>
    <row r="206" spans="1:5" x14ac:dyDescent="0.3">
      <c r="A206" s="40">
        <v>44247.632879780096</v>
      </c>
      <c r="B206" t="s">
        <v>53</v>
      </c>
      <c r="C206">
        <v>14</v>
      </c>
      <c r="E206" t="s">
        <v>70</v>
      </c>
    </row>
    <row r="207" spans="1:5" x14ac:dyDescent="0.3">
      <c r="A207" s="40">
        <v>44255.442815057868</v>
      </c>
      <c r="B207" t="s">
        <v>49</v>
      </c>
      <c r="C207">
        <v>36</v>
      </c>
      <c r="E207" t="s">
        <v>70</v>
      </c>
    </row>
    <row r="208" spans="1:5" x14ac:dyDescent="0.3">
      <c r="A208" s="40">
        <v>44274.244473842591</v>
      </c>
      <c r="B208" t="s">
        <v>56</v>
      </c>
      <c r="C208">
        <v>12</v>
      </c>
      <c r="E208" t="s">
        <v>70</v>
      </c>
    </row>
    <row r="209" spans="1:5" x14ac:dyDescent="0.3">
      <c r="A209" s="40">
        <v>44284.638173252315</v>
      </c>
      <c r="B209" t="s">
        <v>52</v>
      </c>
      <c r="C209">
        <v>16</v>
      </c>
      <c r="E209" t="s">
        <v>70</v>
      </c>
    </row>
    <row r="210" spans="1:5" x14ac:dyDescent="0.3">
      <c r="A210" s="40">
        <v>44285.198807523149</v>
      </c>
      <c r="B210" t="s">
        <v>54</v>
      </c>
      <c r="C210">
        <v>35</v>
      </c>
      <c r="E210" t="s">
        <v>70</v>
      </c>
    </row>
    <row r="211" spans="1:5" x14ac:dyDescent="0.3">
      <c r="A211" s="40">
        <v>44295.845820555558</v>
      </c>
      <c r="B211" t="s">
        <v>57</v>
      </c>
      <c r="C211">
        <v>28</v>
      </c>
      <c r="E211" t="s">
        <v>70</v>
      </c>
    </row>
    <row r="212" spans="1:5" x14ac:dyDescent="0.3">
      <c r="A212" s="40">
        <v>44303.150921597226</v>
      </c>
      <c r="B212" t="s">
        <v>56</v>
      </c>
      <c r="C212">
        <v>34</v>
      </c>
      <c r="E212" t="s">
        <v>69</v>
      </c>
    </row>
    <row r="213" spans="1:5" x14ac:dyDescent="0.3">
      <c r="A213" s="40">
        <v>44310.925443425927</v>
      </c>
      <c r="B213" t="s">
        <v>58</v>
      </c>
      <c r="C213">
        <v>15</v>
      </c>
      <c r="E213" t="s">
        <v>71</v>
      </c>
    </row>
    <row r="214" spans="1:5" x14ac:dyDescent="0.3">
      <c r="A214" s="40">
        <v>44316.27633202546</v>
      </c>
      <c r="B214" t="s">
        <v>58</v>
      </c>
      <c r="C214">
        <v>19</v>
      </c>
      <c r="E214" t="s">
        <v>70</v>
      </c>
    </row>
    <row r="215" spans="1:5" x14ac:dyDescent="0.3">
      <c r="A215" s="40">
        <v>44317.184847731478</v>
      </c>
      <c r="B215" t="s">
        <v>51</v>
      </c>
      <c r="C215">
        <v>25</v>
      </c>
      <c r="E215" t="s">
        <v>70</v>
      </c>
    </row>
    <row r="216" spans="1:5" x14ac:dyDescent="0.3">
      <c r="A216" s="40">
        <v>44329.988131030092</v>
      </c>
      <c r="B216" t="s">
        <v>56</v>
      </c>
      <c r="C216">
        <v>14</v>
      </c>
      <c r="E216" t="s">
        <v>70</v>
      </c>
    </row>
    <row r="217" spans="1:5" x14ac:dyDescent="0.3">
      <c r="A217" s="40">
        <v>44331.202741701389</v>
      </c>
      <c r="B217" t="s">
        <v>58</v>
      </c>
      <c r="C217">
        <v>26</v>
      </c>
      <c r="E217" t="s">
        <v>70</v>
      </c>
    </row>
    <row r="218" spans="1:5" x14ac:dyDescent="0.3">
      <c r="A218" s="40">
        <v>44333.725604872685</v>
      </c>
      <c r="B218" t="s">
        <v>59</v>
      </c>
      <c r="C218">
        <v>16</v>
      </c>
      <c r="E218" t="s">
        <v>69</v>
      </c>
    </row>
    <row r="219" spans="1:5" x14ac:dyDescent="0.3">
      <c r="A219" s="40">
        <v>44337.86868446759</v>
      </c>
      <c r="B219" t="s">
        <v>51</v>
      </c>
      <c r="C219">
        <v>16</v>
      </c>
      <c r="E219" t="s">
        <v>71</v>
      </c>
    </row>
    <row r="220" spans="1:5" x14ac:dyDescent="0.3">
      <c r="A220" s="40">
        <v>44342.242623043981</v>
      </c>
      <c r="B220" t="s">
        <v>50</v>
      </c>
      <c r="C220">
        <v>14</v>
      </c>
      <c r="E220" t="s">
        <v>70</v>
      </c>
    </row>
    <row r="221" spans="1:5" x14ac:dyDescent="0.3">
      <c r="A221" s="40">
        <v>44343.426675451388</v>
      </c>
      <c r="B221" t="s">
        <v>58</v>
      </c>
      <c r="C221">
        <v>32</v>
      </c>
      <c r="E221" t="s">
        <v>71</v>
      </c>
    </row>
    <row r="222" spans="1:5" x14ac:dyDescent="0.3">
      <c r="A222" s="40">
        <v>44344.302813425929</v>
      </c>
      <c r="B222" t="s">
        <v>52</v>
      </c>
      <c r="C222">
        <v>26</v>
      </c>
      <c r="E222" t="s">
        <v>69</v>
      </c>
    </row>
    <row r="223" spans="1:5" x14ac:dyDescent="0.3">
      <c r="A223" s="40">
        <v>44353.778658530093</v>
      </c>
      <c r="B223" t="s">
        <v>51</v>
      </c>
      <c r="C223">
        <v>23</v>
      </c>
      <c r="E223" t="s">
        <v>70</v>
      </c>
    </row>
    <row r="224" spans="1:5" x14ac:dyDescent="0.3">
      <c r="A224" s="40">
        <v>44355.612314027778</v>
      </c>
      <c r="B224" t="s">
        <v>55</v>
      </c>
      <c r="C224">
        <v>15</v>
      </c>
      <c r="E224" t="s">
        <v>70</v>
      </c>
    </row>
    <row r="225" spans="1:5" x14ac:dyDescent="0.3">
      <c r="A225" s="40">
        <v>44365.612072557873</v>
      </c>
      <c r="B225" t="s">
        <v>56</v>
      </c>
      <c r="C225">
        <v>13</v>
      </c>
      <c r="E225" t="s">
        <v>70</v>
      </c>
    </row>
    <row r="226" spans="1:5" x14ac:dyDescent="0.3">
      <c r="A226" s="40">
        <v>44382.215314641202</v>
      </c>
      <c r="B226" t="s">
        <v>52</v>
      </c>
      <c r="C226">
        <v>22</v>
      </c>
      <c r="E226" t="s">
        <v>69</v>
      </c>
    </row>
    <row r="227" spans="1:5" x14ac:dyDescent="0.3">
      <c r="A227" s="40">
        <v>44382.554951122685</v>
      </c>
      <c r="B227" t="s">
        <v>58</v>
      </c>
      <c r="C227">
        <v>17</v>
      </c>
      <c r="E227" t="s">
        <v>70</v>
      </c>
    </row>
    <row r="228" spans="1:5" x14ac:dyDescent="0.3">
      <c r="A228" s="40">
        <v>44397.073706747688</v>
      </c>
      <c r="B228" t="s">
        <v>58</v>
      </c>
      <c r="C228">
        <v>20</v>
      </c>
      <c r="E228" t="s">
        <v>71</v>
      </c>
    </row>
    <row r="229" spans="1:5" x14ac:dyDescent="0.3">
      <c r="A229" s="40">
        <v>44397.848769953707</v>
      </c>
      <c r="B229" t="s">
        <v>51</v>
      </c>
      <c r="C229">
        <v>30</v>
      </c>
      <c r="E229" t="s">
        <v>70</v>
      </c>
    </row>
    <row r="230" spans="1:5" x14ac:dyDescent="0.3">
      <c r="A230" s="40">
        <v>44398.800963287038</v>
      </c>
      <c r="B230" t="s">
        <v>54</v>
      </c>
      <c r="C230">
        <v>24</v>
      </c>
      <c r="E230" t="s">
        <v>69</v>
      </c>
    </row>
    <row r="231" spans="1:5" x14ac:dyDescent="0.3">
      <c r="A231" s="40">
        <v>44427.279904525465</v>
      </c>
      <c r="B231" t="s">
        <v>51</v>
      </c>
      <c r="C231">
        <v>24</v>
      </c>
      <c r="E231" t="s">
        <v>71</v>
      </c>
    </row>
    <row r="232" spans="1:5" x14ac:dyDescent="0.3">
      <c r="A232" s="40">
        <v>44428.354315196761</v>
      </c>
      <c r="B232" t="s">
        <v>54</v>
      </c>
      <c r="C232">
        <v>22</v>
      </c>
      <c r="E232" t="s">
        <v>70</v>
      </c>
    </row>
    <row r="233" spans="1:5" x14ac:dyDescent="0.3">
      <c r="A233" s="40"/>
    </row>
    <row r="234" spans="1:5" x14ac:dyDescent="0.3">
      <c r="A234" s="40"/>
    </row>
    <row r="235" spans="1:5" x14ac:dyDescent="0.3">
      <c r="A235" s="40"/>
    </row>
    <row r="236" spans="1:5" x14ac:dyDescent="0.3">
      <c r="A236" s="40"/>
    </row>
    <row r="237" spans="1:5" x14ac:dyDescent="0.3">
      <c r="A237" s="40"/>
    </row>
    <row r="238" spans="1:5" x14ac:dyDescent="0.3">
      <c r="A238" s="40"/>
    </row>
    <row r="239" spans="1:5" x14ac:dyDescent="0.3">
      <c r="A239" s="40"/>
    </row>
    <row r="240" spans="1:5" x14ac:dyDescent="0.3">
      <c r="A240" s="40"/>
    </row>
    <row r="241" spans="1:1" x14ac:dyDescent="0.3">
      <c r="A241" s="40"/>
    </row>
    <row r="242" spans="1:1" x14ac:dyDescent="0.3">
      <c r="A242" s="40"/>
    </row>
    <row r="243" spans="1:1" x14ac:dyDescent="0.3">
      <c r="A243" s="40"/>
    </row>
    <row r="244" spans="1:1" x14ac:dyDescent="0.3">
      <c r="A244" s="40"/>
    </row>
    <row r="245" spans="1:1" x14ac:dyDescent="0.3">
      <c r="A245" s="40"/>
    </row>
    <row r="246" spans="1:1" x14ac:dyDescent="0.3">
      <c r="A246" s="40"/>
    </row>
    <row r="247" spans="1:1" x14ac:dyDescent="0.3">
      <c r="A247" s="40"/>
    </row>
    <row r="248" spans="1:1" x14ac:dyDescent="0.3">
      <c r="A248" s="40"/>
    </row>
    <row r="249" spans="1:1" x14ac:dyDescent="0.3">
      <c r="A249" s="40"/>
    </row>
    <row r="250" spans="1:1" x14ac:dyDescent="0.3">
      <c r="A250" s="40"/>
    </row>
    <row r="251" spans="1:1" x14ac:dyDescent="0.3">
      <c r="A251" s="40"/>
    </row>
    <row r="252" spans="1:1" x14ac:dyDescent="0.3">
      <c r="A252" s="40"/>
    </row>
    <row r="253" spans="1:1" x14ac:dyDescent="0.3">
      <c r="A253" s="40"/>
    </row>
    <row r="254" spans="1:1" x14ac:dyDescent="0.3">
      <c r="A254" s="40"/>
    </row>
    <row r="255" spans="1:1" x14ac:dyDescent="0.3">
      <c r="A255" s="40"/>
    </row>
    <row r="256" spans="1:1" x14ac:dyDescent="0.3">
      <c r="A256" s="40"/>
    </row>
    <row r="257" spans="1:1" x14ac:dyDescent="0.3">
      <c r="A257" s="40"/>
    </row>
    <row r="258" spans="1:1" x14ac:dyDescent="0.3">
      <c r="A258" s="40"/>
    </row>
    <row r="259" spans="1:1" x14ac:dyDescent="0.3">
      <c r="A259" s="40"/>
    </row>
    <row r="260" spans="1:1" x14ac:dyDescent="0.3">
      <c r="A260" s="40"/>
    </row>
    <row r="261" spans="1:1" x14ac:dyDescent="0.3">
      <c r="A261" s="40"/>
    </row>
    <row r="262" spans="1:1" x14ac:dyDescent="0.3">
      <c r="A262" s="40"/>
    </row>
    <row r="263" spans="1:1" x14ac:dyDescent="0.3">
      <c r="A263" s="40"/>
    </row>
    <row r="264" spans="1:1" x14ac:dyDescent="0.3">
      <c r="A264" s="40"/>
    </row>
    <row r="265" spans="1:1" x14ac:dyDescent="0.3">
      <c r="A265" s="40"/>
    </row>
    <row r="266" spans="1:1" x14ac:dyDescent="0.3">
      <c r="A266" s="4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8E56-32F8-4C14-AB3B-24450406326D}">
  <dimension ref="A1:K232"/>
  <sheetViews>
    <sheetView workbookViewId="0">
      <selection sqref="A1:K232"/>
    </sheetView>
  </sheetViews>
  <sheetFormatPr defaultRowHeight="14.4" x14ac:dyDescent="0.3"/>
  <cols>
    <col min="1" max="1" width="15.33203125" bestFit="1" customWidth="1"/>
    <col min="2" max="2" width="27.6640625" bestFit="1" customWidth="1"/>
    <col min="3" max="3" width="21.44140625" bestFit="1" customWidth="1"/>
    <col min="4" max="4" width="11" bestFit="1" customWidth="1"/>
    <col min="5" max="5" width="15" bestFit="1" customWidth="1"/>
    <col min="6" max="9" width="11.109375" bestFit="1" customWidth="1"/>
    <col min="10" max="11" width="12.109375" bestFit="1" customWidth="1"/>
  </cols>
  <sheetData>
    <row r="1" spans="1:11" x14ac:dyDescent="0.3">
      <c r="A1" t="s">
        <v>62</v>
      </c>
      <c r="B1" t="s">
        <v>47</v>
      </c>
      <c r="C1" t="s">
        <v>72</v>
      </c>
      <c r="D1" t="s">
        <v>64</v>
      </c>
      <c r="E1" t="s">
        <v>65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 spans="1:11" x14ac:dyDescent="0.3">
      <c r="A2" s="40">
        <v>42404.648697534722</v>
      </c>
      <c r="B2" t="s">
        <v>54</v>
      </c>
      <c r="C2">
        <v>14</v>
      </c>
      <c r="E2" t="s">
        <v>70</v>
      </c>
    </row>
    <row r="3" spans="1:11" x14ac:dyDescent="0.3">
      <c r="A3" s="40">
        <v>42413.080188101849</v>
      </c>
      <c r="B3" t="s">
        <v>61</v>
      </c>
      <c r="C3">
        <v>19</v>
      </c>
      <c r="E3" t="s">
        <v>69</v>
      </c>
    </row>
    <row r="4" spans="1:11" x14ac:dyDescent="0.3">
      <c r="A4" s="40">
        <v>42417.573578333337</v>
      </c>
      <c r="B4" t="s">
        <v>58</v>
      </c>
      <c r="C4">
        <v>26</v>
      </c>
      <c r="E4" t="s">
        <v>69</v>
      </c>
    </row>
    <row r="5" spans="1:11" x14ac:dyDescent="0.3">
      <c r="A5" s="40">
        <v>42418.724207025465</v>
      </c>
      <c r="B5" t="s">
        <v>52</v>
      </c>
      <c r="C5">
        <v>26</v>
      </c>
      <c r="E5" t="s">
        <v>69</v>
      </c>
    </row>
    <row r="6" spans="1:11" x14ac:dyDescent="0.3">
      <c r="A6" s="40">
        <v>42429.496737662033</v>
      </c>
      <c r="B6" t="s">
        <v>52</v>
      </c>
      <c r="C6">
        <v>25</v>
      </c>
      <c r="E6" t="s">
        <v>69</v>
      </c>
    </row>
    <row r="7" spans="1:11" x14ac:dyDescent="0.3">
      <c r="A7" s="40">
        <v>42438.528191342593</v>
      </c>
      <c r="B7" t="s">
        <v>52</v>
      </c>
      <c r="C7">
        <v>24</v>
      </c>
      <c r="E7" t="s">
        <v>69</v>
      </c>
    </row>
    <row r="8" spans="1:11" x14ac:dyDescent="0.3">
      <c r="A8" s="40">
        <v>42444.703488368054</v>
      </c>
      <c r="B8" t="s">
        <v>59</v>
      </c>
      <c r="C8">
        <v>17</v>
      </c>
      <c r="E8" t="s">
        <v>69</v>
      </c>
    </row>
    <row r="9" spans="1:11" x14ac:dyDescent="0.3">
      <c r="A9" s="40">
        <v>42449.18440697917</v>
      </c>
      <c r="B9" t="s">
        <v>52</v>
      </c>
      <c r="C9">
        <v>21</v>
      </c>
      <c r="E9" t="s">
        <v>69</v>
      </c>
    </row>
    <row r="10" spans="1:11" x14ac:dyDescent="0.3">
      <c r="A10" s="40">
        <v>42457.657371574074</v>
      </c>
      <c r="B10" t="s">
        <v>52</v>
      </c>
      <c r="C10">
        <v>29</v>
      </c>
      <c r="E10" t="s">
        <v>69</v>
      </c>
    </row>
    <row r="11" spans="1:11" x14ac:dyDescent="0.3">
      <c r="A11" s="40">
        <v>42460.788467824073</v>
      </c>
      <c r="B11" t="s">
        <v>59</v>
      </c>
      <c r="C11">
        <v>23</v>
      </c>
      <c r="E11" t="s">
        <v>69</v>
      </c>
    </row>
    <row r="12" spans="1:11" x14ac:dyDescent="0.3">
      <c r="A12" s="40">
        <v>42462.717956608794</v>
      </c>
      <c r="B12" t="s">
        <v>52</v>
      </c>
      <c r="C12">
        <v>14</v>
      </c>
      <c r="E12" t="s">
        <v>69</v>
      </c>
    </row>
    <row r="13" spans="1:11" x14ac:dyDescent="0.3">
      <c r="A13" s="40">
        <v>42472.484215648146</v>
      </c>
      <c r="B13" t="s">
        <v>56</v>
      </c>
      <c r="C13">
        <v>22</v>
      </c>
      <c r="E13" t="s">
        <v>69</v>
      </c>
    </row>
    <row r="14" spans="1:11" x14ac:dyDescent="0.3">
      <c r="A14" s="40">
        <v>42473.187192106481</v>
      </c>
      <c r="B14" t="s">
        <v>51</v>
      </c>
      <c r="C14">
        <v>26</v>
      </c>
      <c r="E14" t="s">
        <v>69</v>
      </c>
    </row>
    <row r="15" spans="1:11" x14ac:dyDescent="0.3">
      <c r="A15" s="40">
        <v>42486.335559525462</v>
      </c>
      <c r="B15" t="s">
        <v>59</v>
      </c>
      <c r="C15">
        <v>25</v>
      </c>
      <c r="E15" t="s">
        <v>69</v>
      </c>
    </row>
    <row r="16" spans="1:11" x14ac:dyDescent="0.3">
      <c r="A16" s="40">
        <v>42487.322452280096</v>
      </c>
      <c r="B16" t="s">
        <v>49</v>
      </c>
      <c r="C16">
        <v>19</v>
      </c>
      <c r="E16" t="s">
        <v>69</v>
      </c>
    </row>
    <row r="17" spans="1:5" x14ac:dyDescent="0.3">
      <c r="A17" s="40">
        <v>42504.576062141205</v>
      </c>
      <c r="B17" t="s">
        <v>59</v>
      </c>
      <c r="C17">
        <v>21</v>
      </c>
      <c r="E17" t="s">
        <v>69</v>
      </c>
    </row>
    <row r="18" spans="1:5" x14ac:dyDescent="0.3">
      <c r="A18" s="40">
        <v>42506.099814398149</v>
      </c>
      <c r="B18" t="s">
        <v>57</v>
      </c>
      <c r="C18">
        <v>27</v>
      </c>
      <c r="E18" t="s">
        <v>70</v>
      </c>
    </row>
    <row r="19" spans="1:5" x14ac:dyDescent="0.3">
      <c r="A19" s="40">
        <v>42508.577199594911</v>
      </c>
      <c r="B19" t="s">
        <v>52</v>
      </c>
      <c r="C19">
        <v>34</v>
      </c>
      <c r="E19" t="s">
        <v>69</v>
      </c>
    </row>
    <row r="20" spans="1:5" x14ac:dyDescent="0.3">
      <c r="A20" s="40">
        <v>42519.669952870368</v>
      </c>
      <c r="B20" t="s">
        <v>52</v>
      </c>
      <c r="C20">
        <v>17</v>
      </c>
      <c r="E20" t="s">
        <v>70</v>
      </c>
    </row>
    <row r="21" spans="1:5" x14ac:dyDescent="0.3">
      <c r="A21" s="40">
        <v>42520.45313144676</v>
      </c>
      <c r="B21" t="s">
        <v>52</v>
      </c>
      <c r="C21">
        <v>33</v>
      </c>
      <c r="E21" t="s">
        <v>69</v>
      </c>
    </row>
    <row r="22" spans="1:5" x14ac:dyDescent="0.3">
      <c r="A22" s="40">
        <v>42539.79836724537</v>
      </c>
      <c r="B22" t="s">
        <v>52</v>
      </c>
      <c r="C22">
        <v>17</v>
      </c>
      <c r="E22" t="s">
        <v>70</v>
      </c>
    </row>
    <row r="23" spans="1:5" x14ac:dyDescent="0.3">
      <c r="A23" s="40">
        <v>42546.354357719909</v>
      </c>
      <c r="B23" t="s">
        <v>59</v>
      </c>
      <c r="C23">
        <v>16</v>
      </c>
      <c r="E23" t="s">
        <v>69</v>
      </c>
    </row>
    <row r="24" spans="1:5" x14ac:dyDescent="0.3">
      <c r="A24" s="40">
        <v>42546.577192418983</v>
      </c>
      <c r="B24" t="s">
        <v>53</v>
      </c>
      <c r="C24">
        <v>12</v>
      </c>
      <c r="E24" t="s">
        <v>70</v>
      </c>
    </row>
    <row r="25" spans="1:5" x14ac:dyDescent="0.3">
      <c r="A25" s="40">
        <v>42549.265516979169</v>
      </c>
      <c r="B25" t="s">
        <v>61</v>
      </c>
      <c r="C25">
        <v>37</v>
      </c>
      <c r="E25" t="s">
        <v>69</v>
      </c>
    </row>
    <row r="26" spans="1:5" x14ac:dyDescent="0.3">
      <c r="A26" s="40">
        <v>42561.740375763889</v>
      </c>
      <c r="B26" t="s">
        <v>56</v>
      </c>
      <c r="C26">
        <v>12</v>
      </c>
      <c r="E26" t="s">
        <v>70</v>
      </c>
    </row>
    <row r="27" spans="1:5" x14ac:dyDescent="0.3">
      <c r="A27" s="40">
        <v>42569.795667222221</v>
      </c>
      <c r="B27" t="s">
        <v>55</v>
      </c>
      <c r="C27">
        <v>28</v>
      </c>
      <c r="E27" t="s">
        <v>69</v>
      </c>
    </row>
    <row r="28" spans="1:5" x14ac:dyDescent="0.3">
      <c r="A28" s="40">
        <v>42572.643635972221</v>
      </c>
      <c r="B28" t="s">
        <v>49</v>
      </c>
      <c r="C28">
        <v>38</v>
      </c>
      <c r="E28" t="s">
        <v>70</v>
      </c>
    </row>
    <row r="29" spans="1:5" x14ac:dyDescent="0.3">
      <c r="A29" s="40">
        <v>42576.60563111111</v>
      </c>
      <c r="B29" t="s">
        <v>51</v>
      </c>
      <c r="C29">
        <v>39</v>
      </c>
      <c r="E29" t="s">
        <v>70</v>
      </c>
    </row>
    <row r="30" spans="1:5" x14ac:dyDescent="0.3">
      <c r="A30" s="40">
        <v>42579.518154432873</v>
      </c>
      <c r="B30" t="s">
        <v>53</v>
      </c>
      <c r="C30">
        <v>14</v>
      </c>
      <c r="E30" t="s">
        <v>69</v>
      </c>
    </row>
    <row r="31" spans="1:5" x14ac:dyDescent="0.3">
      <c r="A31" s="40">
        <v>42585.257782546294</v>
      </c>
      <c r="B31" t="s">
        <v>52</v>
      </c>
      <c r="C31">
        <v>38</v>
      </c>
      <c r="E31" t="s">
        <v>70</v>
      </c>
    </row>
    <row r="32" spans="1:5" x14ac:dyDescent="0.3">
      <c r="A32" s="40">
        <v>42590.442238206022</v>
      </c>
      <c r="B32" t="s">
        <v>58</v>
      </c>
      <c r="C32">
        <v>12</v>
      </c>
      <c r="E32" t="s">
        <v>69</v>
      </c>
    </row>
    <row r="33" spans="1:5" x14ac:dyDescent="0.3">
      <c r="A33" s="40">
        <v>42602.105753495372</v>
      </c>
      <c r="B33" t="s">
        <v>49</v>
      </c>
      <c r="C33">
        <v>10</v>
      </c>
      <c r="E33" t="s">
        <v>70</v>
      </c>
    </row>
    <row r="34" spans="1:5" x14ac:dyDescent="0.3">
      <c r="A34" s="40">
        <v>42629.524290266207</v>
      </c>
      <c r="B34" t="s">
        <v>51</v>
      </c>
      <c r="C34">
        <v>28</v>
      </c>
      <c r="E34" t="s">
        <v>70</v>
      </c>
    </row>
    <row r="35" spans="1:5" x14ac:dyDescent="0.3">
      <c r="A35" s="40">
        <v>42650.183848587963</v>
      </c>
      <c r="B35" t="s">
        <v>54</v>
      </c>
      <c r="C35">
        <v>34</v>
      </c>
      <c r="E35" t="s">
        <v>70</v>
      </c>
    </row>
    <row r="36" spans="1:5" x14ac:dyDescent="0.3">
      <c r="A36" s="40">
        <v>42657.715463159722</v>
      </c>
      <c r="B36" t="s">
        <v>59</v>
      </c>
      <c r="C36">
        <v>38</v>
      </c>
      <c r="E36" t="s">
        <v>70</v>
      </c>
    </row>
    <row r="37" spans="1:5" x14ac:dyDescent="0.3">
      <c r="A37" s="40">
        <v>42659.600522546294</v>
      </c>
      <c r="B37" t="s">
        <v>54</v>
      </c>
      <c r="C37">
        <v>24</v>
      </c>
      <c r="E37" t="s">
        <v>69</v>
      </c>
    </row>
    <row r="38" spans="1:5" x14ac:dyDescent="0.3">
      <c r="A38" s="40">
        <v>42665.069041516203</v>
      </c>
      <c r="B38" t="s">
        <v>51</v>
      </c>
      <c r="C38">
        <v>15</v>
      </c>
      <c r="E38" t="s">
        <v>69</v>
      </c>
    </row>
    <row r="39" spans="1:5" x14ac:dyDescent="0.3">
      <c r="A39" s="40">
        <v>42665.785762569445</v>
      </c>
      <c r="B39" t="s">
        <v>50</v>
      </c>
      <c r="C39">
        <v>14</v>
      </c>
      <c r="E39" t="s">
        <v>69</v>
      </c>
    </row>
    <row r="40" spans="1:5" x14ac:dyDescent="0.3">
      <c r="A40" s="40">
        <v>42679.1372625</v>
      </c>
      <c r="B40" t="s">
        <v>49</v>
      </c>
      <c r="C40">
        <v>29</v>
      </c>
      <c r="E40" t="s">
        <v>70</v>
      </c>
    </row>
    <row r="41" spans="1:5" x14ac:dyDescent="0.3">
      <c r="A41" s="40">
        <v>42700.32453672454</v>
      </c>
      <c r="B41" t="s">
        <v>52</v>
      </c>
      <c r="C41">
        <v>13</v>
      </c>
      <c r="E41" t="s">
        <v>69</v>
      </c>
    </row>
    <row r="42" spans="1:5" x14ac:dyDescent="0.3">
      <c r="A42" s="40">
        <v>42704.325360833333</v>
      </c>
      <c r="B42" t="s">
        <v>49</v>
      </c>
      <c r="C42">
        <v>14</v>
      </c>
      <c r="E42" t="s">
        <v>69</v>
      </c>
    </row>
    <row r="43" spans="1:5" x14ac:dyDescent="0.3">
      <c r="A43" s="40">
        <v>42722.148854375002</v>
      </c>
      <c r="B43" t="s">
        <v>49</v>
      </c>
      <c r="C43">
        <v>22</v>
      </c>
      <c r="E43" t="s">
        <v>69</v>
      </c>
    </row>
    <row r="44" spans="1:5" x14ac:dyDescent="0.3">
      <c r="A44" s="40">
        <v>42729.719786400463</v>
      </c>
      <c r="B44" t="s">
        <v>55</v>
      </c>
      <c r="C44">
        <v>25</v>
      </c>
      <c r="E44" t="s">
        <v>70</v>
      </c>
    </row>
    <row r="45" spans="1:5" x14ac:dyDescent="0.3">
      <c r="A45" s="40">
        <v>42732.65422222222</v>
      </c>
      <c r="B45" t="s">
        <v>49</v>
      </c>
      <c r="C45">
        <v>22</v>
      </c>
      <c r="E45" t="s">
        <v>69</v>
      </c>
    </row>
    <row r="46" spans="1:5" x14ac:dyDescent="0.3">
      <c r="A46" s="40">
        <v>42759.822814791667</v>
      </c>
      <c r="B46" t="s">
        <v>49</v>
      </c>
      <c r="C46">
        <v>22</v>
      </c>
      <c r="E46" t="s">
        <v>69</v>
      </c>
    </row>
    <row r="47" spans="1:5" x14ac:dyDescent="0.3">
      <c r="A47" s="40">
        <v>42769.665291921294</v>
      </c>
      <c r="B47" t="s">
        <v>56</v>
      </c>
      <c r="C47">
        <v>30</v>
      </c>
      <c r="E47" t="s">
        <v>69</v>
      </c>
    </row>
    <row r="48" spans="1:5" x14ac:dyDescent="0.3">
      <c r="A48" s="40">
        <v>42773.062951759261</v>
      </c>
      <c r="B48" t="s">
        <v>52</v>
      </c>
      <c r="C48">
        <v>11</v>
      </c>
      <c r="E48" t="s">
        <v>69</v>
      </c>
    </row>
    <row r="49" spans="1:5" x14ac:dyDescent="0.3">
      <c r="A49" s="40">
        <v>42783.124194699078</v>
      </c>
      <c r="B49" t="s">
        <v>59</v>
      </c>
      <c r="C49">
        <v>35</v>
      </c>
      <c r="E49" t="s">
        <v>69</v>
      </c>
    </row>
    <row r="50" spans="1:5" x14ac:dyDescent="0.3">
      <c r="A50" s="40">
        <v>42785.461353541665</v>
      </c>
      <c r="B50" t="s">
        <v>51</v>
      </c>
      <c r="C50">
        <v>19</v>
      </c>
      <c r="E50" t="s">
        <v>69</v>
      </c>
    </row>
    <row r="51" spans="1:5" x14ac:dyDescent="0.3">
      <c r="A51" s="40">
        <v>42789.679097962966</v>
      </c>
      <c r="B51" t="s">
        <v>50</v>
      </c>
      <c r="C51">
        <v>39</v>
      </c>
      <c r="E51" t="s">
        <v>70</v>
      </c>
    </row>
    <row r="52" spans="1:5" x14ac:dyDescent="0.3">
      <c r="A52" s="40">
        <v>42797.465700486115</v>
      </c>
      <c r="B52" t="s">
        <v>50</v>
      </c>
      <c r="C52">
        <v>24</v>
      </c>
      <c r="E52" t="s">
        <v>70</v>
      </c>
    </row>
    <row r="53" spans="1:5" x14ac:dyDescent="0.3">
      <c r="A53" s="40">
        <v>42815.146006770832</v>
      </c>
      <c r="B53" t="s">
        <v>58</v>
      </c>
      <c r="C53">
        <v>16</v>
      </c>
      <c r="E53" t="s">
        <v>69</v>
      </c>
    </row>
    <row r="54" spans="1:5" x14ac:dyDescent="0.3">
      <c r="A54" s="40">
        <v>42815.224258854163</v>
      </c>
      <c r="B54" t="s">
        <v>53</v>
      </c>
      <c r="C54">
        <v>14</v>
      </c>
      <c r="E54" t="s">
        <v>70</v>
      </c>
    </row>
    <row r="55" spans="1:5" x14ac:dyDescent="0.3">
      <c r="A55" s="40">
        <v>42822.095396076387</v>
      </c>
      <c r="B55" t="s">
        <v>61</v>
      </c>
      <c r="C55">
        <v>26</v>
      </c>
      <c r="E55" t="s">
        <v>70</v>
      </c>
    </row>
    <row r="56" spans="1:5" x14ac:dyDescent="0.3">
      <c r="A56" s="40">
        <v>42843.035131932869</v>
      </c>
      <c r="B56" t="s">
        <v>59</v>
      </c>
      <c r="C56">
        <v>22</v>
      </c>
      <c r="E56" t="s">
        <v>69</v>
      </c>
    </row>
    <row r="57" spans="1:5" x14ac:dyDescent="0.3">
      <c r="A57" s="40">
        <v>42853.490557777775</v>
      </c>
      <c r="B57" t="s">
        <v>61</v>
      </c>
      <c r="C57">
        <v>18</v>
      </c>
      <c r="E57" t="s">
        <v>70</v>
      </c>
    </row>
    <row r="58" spans="1:5" x14ac:dyDescent="0.3">
      <c r="A58" s="40">
        <v>42874.043725289353</v>
      </c>
      <c r="B58" t="s">
        <v>52</v>
      </c>
      <c r="C58">
        <v>30</v>
      </c>
      <c r="E58" t="s">
        <v>70</v>
      </c>
    </row>
    <row r="59" spans="1:5" x14ac:dyDescent="0.3">
      <c r="A59" s="40">
        <v>42874.197378287034</v>
      </c>
      <c r="B59" t="s">
        <v>59</v>
      </c>
      <c r="C59">
        <v>27</v>
      </c>
      <c r="E59" t="s">
        <v>69</v>
      </c>
    </row>
    <row r="60" spans="1:5" x14ac:dyDescent="0.3">
      <c r="A60" s="40">
        <v>42876.165669629627</v>
      </c>
      <c r="B60" t="s">
        <v>59</v>
      </c>
      <c r="C60">
        <v>13</v>
      </c>
      <c r="E60" t="s">
        <v>70</v>
      </c>
    </row>
    <row r="61" spans="1:5" x14ac:dyDescent="0.3">
      <c r="A61" s="40">
        <v>42881.192386180555</v>
      </c>
      <c r="B61" t="s">
        <v>49</v>
      </c>
      <c r="C61">
        <v>38</v>
      </c>
      <c r="E61" t="s">
        <v>70</v>
      </c>
    </row>
    <row r="62" spans="1:5" x14ac:dyDescent="0.3">
      <c r="A62" s="40">
        <v>42888.250044953704</v>
      </c>
      <c r="B62" t="s">
        <v>53</v>
      </c>
      <c r="C62">
        <v>37</v>
      </c>
      <c r="E62" t="s">
        <v>69</v>
      </c>
    </row>
    <row r="63" spans="1:5" x14ac:dyDescent="0.3">
      <c r="A63" s="40">
        <v>42894.173551979169</v>
      </c>
      <c r="B63" t="s">
        <v>59</v>
      </c>
      <c r="C63">
        <v>33</v>
      </c>
      <c r="E63" t="s">
        <v>69</v>
      </c>
    </row>
    <row r="64" spans="1:5" x14ac:dyDescent="0.3">
      <c r="A64" s="40">
        <v>42916.869394699075</v>
      </c>
      <c r="B64" t="s">
        <v>52</v>
      </c>
      <c r="C64">
        <v>40</v>
      </c>
      <c r="E64" t="s">
        <v>69</v>
      </c>
    </row>
    <row r="65" spans="1:5" x14ac:dyDescent="0.3">
      <c r="A65" s="40">
        <v>42919.545645370374</v>
      </c>
      <c r="B65" t="s">
        <v>53</v>
      </c>
      <c r="C65">
        <v>22</v>
      </c>
      <c r="E65" t="s">
        <v>69</v>
      </c>
    </row>
    <row r="66" spans="1:5" x14ac:dyDescent="0.3">
      <c r="A66" s="40">
        <v>42921.89684739583</v>
      </c>
      <c r="B66" t="s">
        <v>56</v>
      </c>
      <c r="C66">
        <v>16</v>
      </c>
      <c r="E66" t="s">
        <v>69</v>
      </c>
    </row>
    <row r="67" spans="1:5" x14ac:dyDescent="0.3">
      <c r="A67" s="40">
        <v>42926.071265300925</v>
      </c>
      <c r="B67" t="s">
        <v>51</v>
      </c>
      <c r="C67">
        <v>21</v>
      </c>
      <c r="E67" t="s">
        <v>69</v>
      </c>
    </row>
    <row r="68" spans="1:5" x14ac:dyDescent="0.3">
      <c r="A68" s="40">
        <v>42943.221867372682</v>
      </c>
      <c r="B68" t="s">
        <v>57</v>
      </c>
      <c r="C68">
        <v>18</v>
      </c>
      <c r="E68" t="s">
        <v>69</v>
      </c>
    </row>
    <row r="69" spans="1:5" x14ac:dyDescent="0.3">
      <c r="A69" s="40">
        <v>42951.918684166667</v>
      </c>
      <c r="B69" t="s">
        <v>58</v>
      </c>
      <c r="C69">
        <v>19</v>
      </c>
      <c r="E69" t="s">
        <v>69</v>
      </c>
    </row>
    <row r="70" spans="1:5" x14ac:dyDescent="0.3">
      <c r="A70" s="40">
        <v>42959.524895243056</v>
      </c>
      <c r="B70" t="s">
        <v>54</v>
      </c>
      <c r="C70">
        <v>35</v>
      </c>
      <c r="E70" t="s">
        <v>69</v>
      </c>
    </row>
    <row r="71" spans="1:5" x14ac:dyDescent="0.3">
      <c r="A71" s="40">
        <v>42960.985605844908</v>
      </c>
      <c r="B71" t="s">
        <v>55</v>
      </c>
      <c r="C71">
        <v>29</v>
      </c>
      <c r="E71" t="s">
        <v>70</v>
      </c>
    </row>
    <row r="72" spans="1:5" x14ac:dyDescent="0.3">
      <c r="A72" s="40">
        <v>42976.461908020836</v>
      </c>
      <c r="B72" t="s">
        <v>56</v>
      </c>
      <c r="C72">
        <v>31</v>
      </c>
      <c r="E72" t="s">
        <v>70</v>
      </c>
    </row>
    <row r="73" spans="1:5" x14ac:dyDescent="0.3">
      <c r="A73" s="40">
        <v>42977.014194201387</v>
      </c>
      <c r="B73" t="s">
        <v>59</v>
      </c>
      <c r="C73">
        <v>13</v>
      </c>
      <c r="E73" t="s">
        <v>70</v>
      </c>
    </row>
    <row r="74" spans="1:5" x14ac:dyDescent="0.3">
      <c r="A74" s="40">
        <v>42980.592244201391</v>
      </c>
      <c r="B74" t="s">
        <v>51</v>
      </c>
      <c r="C74">
        <v>34</v>
      </c>
      <c r="E74" t="s">
        <v>70</v>
      </c>
    </row>
    <row r="75" spans="1:5" x14ac:dyDescent="0.3">
      <c r="A75" s="40">
        <v>42990.538094571762</v>
      </c>
      <c r="B75" t="s">
        <v>49</v>
      </c>
      <c r="C75">
        <v>21</v>
      </c>
      <c r="E75" t="s">
        <v>70</v>
      </c>
    </row>
    <row r="76" spans="1:5" x14ac:dyDescent="0.3">
      <c r="A76" s="40">
        <v>42997.644357592595</v>
      </c>
      <c r="B76" t="s">
        <v>56</v>
      </c>
      <c r="C76">
        <v>33</v>
      </c>
      <c r="E76" t="s">
        <v>70</v>
      </c>
    </row>
    <row r="77" spans="1:5" x14ac:dyDescent="0.3">
      <c r="A77" s="40">
        <v>42999.864974780096</v>
      </c>
      <c r="B77" t="s">
        <v>56</v>
      </c>
      <c r="C77">
        <v>25</v>
      </c>
      <c r="E77" t="s">
        <v>70</v>
      </c>
    </row>
    <row r="78" spans="1:5" x14ac:dyDescent="0.3">
      <c r="A78" s="40">
        <v>43006.316276516205</v>
      </c>
      <c r="B78" t="s">
        <v>60</v>
      </c>
      <c r="C78">
        <v>12</v>
      </c>
      <c r="E78" t="s">
        <v>70</v>
      </c>
    </row>
    <row r="79" spans="1:5" x14ac:dyDescent="0.3">
      <c r="A79" s="40">
        <v>43015.558190578704</v>
      </c>
      <c r="B79" t="s">
        <v>59</v>
      </c>
      <c r="C79">
        <v>21</v>
      </c>
      <c r="E79" t="s">
        <v>70</v>
      </c>
    </row>
    <row r="80" spans="1:5" x14ac:dyDescent="0.3">
      <c r="A80" s="40">
        <v>43020.866720648148</v>
      </c>
      <c r="B80" t="s">
        <v>51</v>
      </c>
      <c r="C80">
        <v>38</v>
      </c>
      <c r="E80" t="s">
        <v>69</v>
      </c>
    </row>
    <row r="81" spans="1:5" x14ac:dyDescent="0.3">
      <c r="A81" s="40">
        <v>43028.334933368053</v>
      </c>
      <c r="B81" t="s">
        <v>54</v>
      </c>
      <c r="C81">
        <v>36</v>
      </c>
      <c r="E81" t="s">
        <v>69</v>
      </c>
    </row>
    <row r="82" spans="1:5" x14ac:dyDescent="0.3">
      <c r="A82" s="40">
        <v>43068.569953240738</v>
      </c>
      <c r="B82" t="s">
        <v>52</v>
      </c>
      <c r="C82">
        <v>36</v>
      </c>
      <c r="E82" t="s">
        <v>70</v>
      </c>
    </row>
    <row r="83" spans="1:5" x14ac:dyDescent="0.3">
      <c r="A83" s="40">
        <v>43075.851382800924</v>
      </c>
      <c r="B83" t="s">
        <v>51</v>
      </c>
      <c r="C83">
        <v>35</v>
      </c>
      <c r="E83" t="s">
        <v>70</v>
      </c>
    </row>
    <row r="84" spans="1:5" x14ac:dyDescent="0.3">
      <c r="A84" s="40">
        <v>43086.312631655092</v>
      </c>
      <c r="B84" t="s">
        <v>58</v>
      </c>
      <c r="C84">
        <v>32</v>
      </c>
      <c r="E84" t="s">
        <v>70</v>
      </c>
    </row>
    <row r="85" spans="1:5" x14ac:dyDescent="0.3">
      <c r="A85" s="40">
        <v>43091.284758796297</v>
      </c>
      <c r="B85" t="s">
        <v>52</v>
      </c>
      <c r="C85">
        <v>14</v>
      </c>
      <c r="E85" t="s">
        <v>70</v>
      </c>
    </row>
    <row r="86" spans="1:5" x14ac:dyDescent="0.3">
      <c r="A86" s="40">
        <v>43107.170073645837</v>
      </c>
      <c r="B86" t="s">
        <v>53</v>
      </c>
      <c r="C86">
        <v>28</v>
      </c>
      <c r="E86" t="s">
        <v>69</v>
      </c>
    </row>
    <row r="87" spans="1:5" x14ac:dyDescent="0.3">
      <c r="A87" s="40">
        <v>43107.764571539352</v>
      </c>
      <c r="B87" t="s">
        <v>49</v>
      </c>
      <c r="C87">
        <v>33</v>
      </c>
      <c r="E87" t="s">
        <v>70</v>
      </c>
    </row>
    <row r="88" spans="1:5" x14ac:dyDescent="0.3">
      <c r="A88" s="40">
        <v>43127.834346840275</v>
      </c>
      <c r="B88" t="s">
        <v>54</v>
      </c>
      <c r="C88">
        <v>23</v>
      </c>
      <c r="E88" t="s">
        <v>70</v>
      </c>
    </row>
    <row r="89" spans="1:5" x14ac:dyDescent="0.3">
      <c r="A89" s="40">
        <v>43140.475834502315</v>
      </c>
      <c r="B89" t="s">
        <v>51</v>
      </c>
      <c r="C89">
        <v>31</v>
      </c>
      <c r="E89" t="s">
        <v>70</v>
      </c>
    </row>
    <row r="90" spans="1:5" x14ac:dyDescent="0.3">
      <c r="A90" s="40">
        <v>43141.568806921299</v>
      </c>
      <c r="B90" t="s">
        <v>53</v>
      </c>
      <c r="C90">
        <v>31</v>
      </c>
      <c r="E90" t="s">
        <v>69</v>
      </c>
    </row>
    <row r="91" spans="1:5" x14ac:dyDescent="0.3">
      <c r="A91" s="40">
        <v>43145.113994918982</v>
      </c>
      <c r="B91" t="s">
        <v>51</v>
      </c>
      <c r="C91">
        <v>27</v>
      </c>
      <c r="E91" t="s">
        <v>70</v>
      </c>
    </row>
    <row r="92" spans="1:5" x14ac:dyDescent="0.3">
      <c r="A92" s="40">
        <v>43147.727578067126</v>
      </c>
      <c r="B92" t="s">
        <v>54</v>
      </c>
      <c r="C92">
        <v>33</v>
      </c>
      <c r="E92" t="s">
        <v>70</v>
      </c>
    </row>
    <row r="93" spans="1:5" x14ac:dyDescent="0.3">
      <c r="A93" s="40">
        <v>43164.137730740738</v>
      </c>
      <c r="B93" t="s">
        <v>60</v>
      </c>
      <c r="C93">
        <v>24</v>
      </c>
      <c r="E93" t="s">
        <v>70</v>
      </c>
    </row>
    <row r="94" spans="1:5" x14ac:dyDescent="0.3">
      <c r="A94" s="40">
        <v>43167.610868391203</v>
      </c>
      <c r="B94" t="s">
        <v>52</v>
      </c>
      <c r="C94">
        <v>16</v>
      </c>
      <c r="E94" t="s">
        <v>69</v>
      </c>
    </row>
    <row r="95" spans="1:5" x14ac:dyDescent="0.3">
      <c r="A95" s="40">
        <v>43178.93406122685</v>
      </c>
      <c r="B95" t="s">
        <v>57</v>
      </c>
      <c r="C95">
        <v>30</v>
      </c>
      <c r="E95" t="s">
        <v>70</v>
      </c>
    </row>
    <row r="96" spans="1:5" x14ac:dyDescent="0.3">
      <c r="A96" s="40">
        <v>43219.024043611113</v>
      </c>
      <c r="B96" t="s">
        <v>54</v>
      </c>
      <c r="C96">
        <v>27</v>
      </c>
      <c r="E96" t="s">
        <v>70</v>
      </c>
    </row>
    <row r="97" spans="1:5" x14ac:dyDescent="0.3">
      <c r="A97" s="40">
        <v>43240.870327847224</v>
      </c>
      <c r="B97" t="s">
        <v>50</v>
      </c>
      <c r="C97">
        <v>22</v>
      </c>
      <c r="E97" t="s">
        <v>70</v>
      </c>
    </row>
    <row r="98" spans="1:5" x14ac:dyDescent="0.3">
      <c r="A98" s="40">
        <v>43245.298208217595</v>
      </c>
      <c r="B98" t="s">
        <v>60</v>
      </c>
      <c r="C98">
        <v>29</v>
      </c>
      <c r="E98" t="s">
        <v>69</v>
      </c>
    </row>
    <row r="99" spans="1:5" x14ac:dyDescent="0.3">
      <c r="A99" s="40">
        <v>43248.273411574075</v>
      </c>
      <c r="B99" t="s">
        <v>50</v>
      </c>
      <c r="C99">
        <v>30</v>
      </c>
      <c r="E99" t="s">
        <v>70</v>
      </c>
    </row>
    <row r="100" spans="1:5" x14ac:dyDescent="0.3">
      <c r="A100" s="40">
        <v>43258.463559166667</v>
      </c>
      <c r="B100" t="s">
        <v>56</v>
      </c>
      <c r="C100">
        <v>19</v>
      </c>
      <c r="E100" t="s">
        <v>70</v>
      </c>
    </row>
    <row r="101" spans="1:5" x14ac:dyDescent="0.3">
      <c r="A101" s="40">
        <v>43267.426127847219</v>
      </c>
      <c r="B101" t="s">
        <v>58</v>
      </c>
      <c r="C101">
        <v>40</v>
      </c>
      <c r="E101" t="s">
        <v>70</v>
      </c>
    </row>
    <row r="102" spans="1:5" x14ac:dyDescent="0.3">
      <c r="A102" s="40">
        <v>43276.441012013885</v>
      </c>
      <c r="B102" t="s">
        <v>54</v>
      </c>
      <c r="C102">
        <v>30</v>
      </c>
      <c r="E102" t="s">
        <v>69</v>
      </c>
    </row>
    <row r="103" spans="1:5" x14ac:dyDescent="0.3">
      <c r="A103" s="40">
        <v>43282.155960254633</v>
      </c>
      <c r="B103" t="s">
        <v>52</v>
      </c>
      <c r="C103">
        <v>32</v>
      </c>
      <c r="E103" t="s">
        <v>69</v>
      </c>
    </row>
    <row r="104" spans="1:5" x14ac:dyDescent="0.3">
      <c r="A104" s="40">
        <v>43294.149015902774</v>
      </c>
      <c r="B104" t="s">
        <v>56</v>
      </c>
      <c r="C104">
        <v>25</v>
      </c>
      <c r="E104" t="s">
        <v>69</v>
      </c>
    </row>
    <row r="105" spans="1:5" x14ac:dyDescent="0.3">
      <c r="A105" s="40">
        <v>43307.77388296296</v>
      </c>
      <c r="B105" t="s">
        <v>59</v>
      </c>
      <c r="C105">
        <v>20</v>
      </c>
      <c r="E105" t="s">
        <v>70</v>
      </c>
    </row>
    <row r="106" spans="1:5" x14ac:dyDescent="0.3">
      <c r="A106" s="40">
        <v>43318.279478240744</v>
      </c>
      <c r="B106" t="s">
        <v>51</v>
      </c>
      <c r="C106">
        <v>29</v>
      </c>
      <c r="E106" t="s">
        <v>69</v>
      </c>
    </row>
    <row r="107" spans="1:5" x14ac:dyDescent="0.3">
      <c r="A107" s="40">
        <v>43320.736723090275</v>
      </c>
      <c r="B107" t="s">
        <v>49</v>
      </c>
      <c r="C107">
        <v>14</v>
      </c>
      <c r="E107" t="s">
        <v>69</v>
      </c>
    </row>
    <row r="108" spans="1:5" x14ac:dyDescent="0.3">
      <c r="A108" s="40">
        <v>43327.955849305552</v>
      </c>
      <c r="B108" t="s">
        <v>52</v>
      </c>
      <c r="C108">
        <v>38</v>
      </c>
      <c r="E108" t="s">
        <v>69</v>
      </c>
    </row>
    <row r="109" spans="1:5" x14ac:dyDescent="0.3">
      <c r="A109" s="40">
        <v>43335.140865451387</v>
      </c>
      <c r="B109" t="s">
        <v>58</v>
      </c>
      <c r="C109">
        <v>36</v>
      </c>
      <c r="E109" t="s">
        <v>70</v>
      </c>
    </row>
    <row r="110" spans="1:5" x14ac:dyDescent="0.3">
      <c r="A110" s="40">
        <v>43349.827729143515</v>
      </c>
      <c r="B110" t="s">
        <v>55</v>
      </c>
      <c r="C110">
        <v>21</v>
      </c>
      <c r="E110" t="s">
        <v>69</v>
      </c>
    </row>
    <row r="111" spans="1:5" x14ac:dyDescent="0.3">
      <c r="A111" s="40">
        <v>43350.417525821758</v>
      </c>
      <c r="B111" t="s">
        <v>52</v>
      </c>
      <c r="C111">
        <v>14</v>
      </c>
      <c r="E111" t="s">
        <v>69</v>
      </c>
    </row>
    <row r="112" spans="1:5" x14ac:dyDescent="0.3">
      <c r="A112" s="40">
        <v>43371.874298692128</v>
      </c>
      <c r="B112" t="s">
        <v>52</v>
      </c>
      <c r="C112">
        <v>20</v>
      </c>
      <c r="E112" t="s">
        <v>69</v>
      </c>
    </row>
    <row r="113" spans="1:5" x14ac:dyDescent="0.3">
      <c r="A113" s="40">
        <v>43380.130964756943</v>
      </c>
      <c r="B113" t="s">
        <v>59</v>
      </c>
      <c r="C113">
        <v>19</v>
      </c>
      <c r="E113" t="s">
        <v>70</v>
      </c>
    </row>
    <row r="114" spans="1:5" x14ac:dyDescent="0.3">
      <c r="A114" s="40">
        <v>43389.841948715279</v>
      </c>
      <c r="B114" t="s">
        <v>59</v>
      </c>
      <c r="C114">
        <v>13</v>
      </c>
      <c r="E114" t="s">
        <v>69</v>
      </c>
    </row>
    <row r="115" spans="1:5" x14ac:dyDescent="0.3">
      <c r="A115" s="40">
        <v>43393.296443414351</v>
      </c>
      <c r="B115" t="s">
        <v>58</v>
      </c>
      <c r="C115">
        <v>30</v>
      </c>
      <c r="E115" t="s">
        <v>69</v>
      </c>
    </row>
    <row r="116" spans="1:5" x14ac:dyDescent="0.3">
      <c r="A116" s="40">
        <v>43405.465949479163</v>
      </c>
      <c r="B116" t="s">
        <v>58</v>
      </c>
      <c r="C116">
        <v>34</v>
      </c>
      <c r="E116" t="s">
        <v>69</v>
      </c>
    </row>
    <row r="117" spans="1:5" x14ac:dyDescent="0.3">
      <c r="A117" s="40">
        <v>43426.324207199075</v>
      </c>
      <c r="B117" t="s">
        <v>59</v>
      </c>
      <c r="C117">
        <v>24</v>
      </c>
      <c r="E117" t="s">
        <v>70</v>
      </c>
    </row>
    <row r="118" spans="1:5" x14ac:dyDescent="0.3">
      <c r="A118" s="40">
        <v>43438.859966747688</v>
      </c>
      <c r="B118" t="s">
        <v>58</v>
      </c>
      <c r="C118">
        <v>36</v>
      </c>
      <c r="E118" t="s">
        <v>69</v>
      </c>
    </row>
    <row r="119" spans="1:5" x14ac:dyDescent="0.3">
      <c r="A119" s="40">
        <v>43447.112841793984</v>
      </c>
      <c r="B119" t="s">
        <v>52</v>
      </c>
      <c r="C119">
        <v>14</v>
      </c>
      <c r="E119" t="s">
        <v>69</v>
      </c>
    </row>
    <row r="120" spans="1:5" x14ac:dyDescent="0.3">
      <c r="A120" s="40">
        <v>43461.237265046293</v>
      </c>
      <c r="B120" t="s">
        <v>58</v>
      </c>
      <c r="C120">
        <v>17</v>
      </c>
      <c r="E120" t="s">
        <v>69</v>
      </c>
    </row>
    <row r="121" spans="1:5" x14ac:dyDescent="0.3">
      <c r="A121" s="40">
        <v>43476.834612037041</v>
      </c>
      <c r="B121" t="s">
        <v>61</v>
      </c>
      <c r="C121">
        <v>11</v>
      </c>
      <c r="E121" t="s">
        <v>70</v>
      </c>
    </row>
    <row r="122" spans="1:5" x14ac:dyDescent="0.3">
      <c r="A122" s="40">
        <v>43499.78356019676</v>
      </c>
      <c r="B122" t="s">
        <v>53</v>
      </c>
      <c r="C122">
        <v>21</v>
      </c>
      <c r="E122" t="s">
        <v>69</v>
      </c>
    </row>
    <row r="123" spans="1:5" x14ac:dyDescent="0.3">
      <c r="A123" s="40">
        <v>43503.828540636576</v>
      </c>
      <c r="B123" t="s">
        <v>52</v>
      </c>
      <c r="C123">
        <v>29</v>
      </c>
      <c r="E123" t="s">
        <v>69</v>
      </c>
    </row>
    <row r="124" spans="1:5" x14ac:dyDescent="0.3">
      <c r="A124" s="40">
        <v>43508.822997592593</v>
      </c>
      <c r="B124" t="s">
        <v>49</v>
      </c>
      <c r="C124">
        <v>13</v>
      </c>
      <c r="E124" t="s">
        <v>69</v>
      </c>
    </row>
    <row r="125" spans="1:5" x14ac:dyDescent="0.3">
      <c r="A125" s="40">
        <v>43518.110904803238</v>
      </c>
      <c r="B125" t="s">
        <v>52</v>
      </c>
      <c r="C125">
        <v>18</v>
      </c>
      <c r="E125" t="s">
        <v>70</v>
      </c>
    </row>
    <row r="126" spans="1:5" x14ac:dyDescent="0.3">
      <c r="A126" s="40">
        <v>43523.39688615741</v>
      </c>
      <c r="B126" t="s">
        <v>51</v>
      </c>
      <c r="C126">
        <v>14</v>
      </c>
      <c r="E126" t="s">
        <v>70</v>
      </c>
    </row>
    <row r="127" spans="1:5" x14ac:dyDescent="0.3">
      <c r="A127" s="40">
        <v>43533.224853206018</v>
      </c>
      <c r="B127" t="s">
        <v>58</v>
      </c>
      <c r="C127">
        <v>27</v>
      </c>
      <c r="E127" t="s">
        <v>70</v>
      </c>
    </row>
    <row r="128" spans="1:5" x14ac:dyDescent="0.3">
      <c r="A128" s="40">
        <v>43542.232310798609</v>
      </c>
      <c r="B128" t="s">
        <v>54</v>
      </c>
      <c r="C128">
        <v>13</v>
      </c>
      <c r="E128" t="s">
        <v>70</v>
      </c>
    </row>
    <row r="129" spans="1:5" x14ac:dyDescent="0.3">
      <c r="A129" s="40">
        <v>43556.967490254632</v>
      </c>
      <c r="B129" t="s">
        <v>52</v>
      </c>
      <c r="C129">
        <v>31</v>
      </c>
      <c r="E129" t="s">
        <v>70</v>
      </c>
    </row>
    <row r="130" spans="1:5" x14ac:dyDescent="0.3">
      <c r="A130" s="40">
        <v>43570.998715729169</v>
      </c>
      <c r="B130" t="s">
        <v>60</v>
      </c>
      <c r="C130">
        <v>35</v>
      </c>
      <c r="E130" t="s">
        <v>70</v>
      </c>
    </row>
    <row r="131" spans="1:5" x14ac:dyDescent="0.3">
      <c r="A131" s="40">
        <v>43573.57328621528</v>
      </c>
      <c r="B131" t="s">
        <v>51</v>
      </c>
      <c r="C131">
        <v>13</v>
      </c>
      <c r="E131" t="s">
        <v>70</v>
      </c>
    </row>
    <row r="132" spans="1:5" x14ac:dyDescent="0.3">
      <c r="A132" s="40">
        <v>43580.862466180559</v>
      </c>
      <c r="B132" t="s">
        <v>58</v>
      </c>
      <c r="C132">
        <v>21</v>
      </c>
      <c r="E132" t="s">
        <v>70</v>
      </c>
    </row>
    <row r="133" spans="1:5" x14ac:dyDescent="0.3">
      <c r="A133" s="40">
        <v>43606.424048611108</v>
      </c>
      <c r="B133" t="s">
        <v>60</v>
      </c>
      <c r="C133">
        <v>14</v>
      </c>
      <c r="E133" t="s">
        <v>70</v>
      </c>
    </row>
    <row r="134" spans="1:5" x14ac:dyDescent="0.3">
      <c r="A134" s="40">
        <v>43610.810685462966</v>
      </c>
      <c r="B134" t="s">
        <v>54</v>
      </c>
      <c r="C134">
        <v>26</v>
      </c>
      <c r="E134" t="s">
        <v>70</v>
      </c>
    </row>
    <row r="135" spans="1:5" x14ac:dyDescent="0.3">
      <c r="A135" s="40">
        <v>43637.587395000002</v>
      </c>
      <c r="B135" t="s">
        <v>60</v>
      </c>
      <c r="C135">
        <v>24</v>
      </c>
      <c r="E135" t="s">
        <v>70</v>
      </c>
    </row>
    <row r="136" spans="1:5" x14ac:dyDescent="0.3">
      <c r="A136" s="40">
        <v>43639.209179363424</v>
      </c>
      <c r="B136" t="s">
        <v>61</v>
      </c>
      <c r="C136">
        <v>38</v>
      </c>
      <c r="E136" t="s">
        <v>69</v>
      </c>
    </row>
    <row r="137" spans="1:5" x14ac:dyDescent="0.3">
      <c r="A137" s="40">
        <v>43665.02277815972</v>
      </c>
      <c r="B137" t="s">
        <v>58</v>
      </c>
      <c r="C137">
        <v>35</v>
      </c>
      <c r="E137" t="s">
        <v>69</v>
      </c>
    </row>
    <row r="138" spans="1:5" x14ac:dyDescent="0.3">
      <c r="A138" s="40">
        <v>43668.614642083332</v>
      </c>
      <c r="B138" t="s">
        <v>58</v>
      </c>
      <c r="C138">
        <v>40</v>
      </c>
      <c r="E138" t="s">
        <v>69</v>
      </c>
    </row>
    <row r="139" spans="1:5" x14ac:dyDescent="0.3">
      <c r="A139" s="40">
        <v>43670.403956886577</v>
      </c>
      <c r="B139" t="s">
        <v>59</v>
      </c>
      <c r="C139">
        <v>24</v>
      </c>
      <c r="E139" t="s">
        <v>69</v>
      </c>
    </row>
    <row r="140" spans="1:5" x14ac:dyDescent="0.3">
      <c r="A140" s="40">
        <v>43673.633060775464</v>
      </c>
      <c r="B140" t="s">
        <v>54</v>
      </c>
      <c r="C140">
        <v>11</v>
      </c>
      <c r="E140" t="s">
        <v>69</v>
      </c>
    </row>
    <row r="141" spans="1:5" x14ac:dyDescent="0.3">
      <c r="A141" s="40">
        <v>43677.906862824071</v>
      </c>
      <c r="B141" t="s">
        <v>60</v>
      </c>
      <c r="C141">
        <v>18</v>
      </c>
      <c r="E141" t="s">
        <v>69</v>
      </c>
    </row>
    <row r="142" spans="1:5" x14ac:dyDescent="0.3">
      <c r="A142" s="40">
        <v>43681.318200694448</v>
      </c>
      <c r="B142" t="s">
        <v>59</v>
      </c>
      <c r="C142">
        <v>37</v>
      </c>
      <c r="E142" t="s">
        <v>69</v>
      </c>
    </row>
    <row r="143" spans="1:5" x14ac:dyDescent="0.3">
      <c r="A143" s="40">
        <v>43682.396940856481</v>
      </c>
      <c r="B143" t="s">
        <v>55</v>
      </c>
      <c r="C143">
        <v>23</v>
      </c>
      <c r="E143" t="s">
        <v>69</v>
      </c>
    </row>
    <row r="144" spans="1:5" x14ac:dyDescent="0.3">
      <c r="A144" s="40">
        <v>43688.97069696759</v>
      </c>
      <c r="B144" t="s">
        <v>59</v>
      </c>
      <c r="C144">
        <v>34</v>
      </c>
      <c r="E144" t="s">
        <v>69</v>
      </c>
    </row>
    <row r="145" spans="1:5" x14ac:dyDescent="0.3">
      <c r="A145" s="40">
        <v>43698.383948518516</v>
      </c>
      <c r="B145" t="s">
        <v>56</v>
      </c>
      <c r="C145">
        <v>32</v>
      </c>
      <c r="E145" t="s">
        <v>69</v>
      </c>
    </row>
    <row r="146" spans="1:5" x14ac:dyDescent="0.3">
      <c r="A146" s="40">
        <v>43700.762697905091</v>
      </c>
      <c r="B146" t="s">
        <v>58</v>
      </c>
      <c r="C146">
        <v>37</v>
      </c>
      <c r="E146" t="s">
        <v>69</v>
      </c>
    </row>
    <row r="147" spans="1:5" x14ac:dyDescent="0.3">
      <c r="A147" s="40">
        <v>43704.242731643521</v>
      </c>
      <c r="B147" t="s">
        <v>56</v>
      </c>
      <c r="C147">
        <v>22</v>
      </c>
      <c r="E147" t="s">
        <v>69</v>
      </c>
    </row>
    <row r="148" spans="1:5" x14ac:dyDescent="0.3">
      <c r="A148" s="40">
        <v>43711.097180208337</v>
      </c>
      <c r="B148" t="s">
        <v>55</v>
      </c>
      <c r="C148">
        <v>18</v>
      </c>
      <c r="E148" t="s">
        <v>69</v>
      </c>
    </row>
    <row r="149" spans="1:5" x14ac:dyDescent="0.3">
      <c r="A149" s="40">
        <v>43733.473327731481</v>
      </c>
      <c r="B149" t="s">
        <v>52</v>
      </c>
      <c r="C149">
        <v>31</v>
      </c>
      <c r="E149" t="s">
        <v>69</v>
      </c>
    </row>
    <row r="150" spans="1:5" x14ac:dyDescent="0.3">
      <c r="A150" s="40">
        <v>43755.926682291669</v>
      </c>
      <c r="B150" t="s">
        <v>50</v>
      </c>
      <c r="C150">
        <v>31</v>
      </c>
      <c r="E150" t="s">
        <v>70</v>
      </c>
    </row>
    <row r="151" spans="1:5" x14ac:dyDescent="0.3">
      <c r="A151" s="40">
        <v>43777.395419456021</v>
      </c>
      <c r="B151" t="s">
        <v>61</v>
      </c>
      <c r="C151">
        <v>22</v>
      </c>
      <c r="E151" t="s">
        <v>70</v>
      </c>
    </row>
    <row r="152" spans="1:5" x14ac:dyDescent="0.3">
      <c r="A152" s="40">
        <v>43787.730395150465</v>
      </c>
      <c r="B152" t="s">
        <v>58</v>
      </c>
      <c r="C152">
        <v>30</v>
      </c>
      <c r="E152" t="s">
        <v>69</v>
      </c>
    </row>
    <row r="153" spans="1:5" x14ac:dyDescent="0.3">
      <c r="A153" s="40">
        <v>43788.906858425929</v>
      </c>
      <c r="B153" t="s">
        <v>56</v>
      </c>
      <c r="C153">
        <v>24</v>
      </c>
      <c r="E153" t="s">
        <v>69</v>
      </c>
    </row>
    <row r="154" spans="1:5" x14ac:dyDescent="0.3">
      <c r="A154" s="40">
        <v>43799.113210208336</v>
      </c>
      <c r="B154" t="s">
        <v>56</v>
      </c>
      <c r="C154">
        <v>10</v>
      </c>
      <c r="E154" t="s">
        <v>69</v>
      </c>
    </row>
    <row r="155" spans="1:5" x14ac:dyDescent="0.3">
      <c r="A155" s="40">
        <v>43811.751493460652</v>
      </c>
      <c r="B155" t="s">
        <v>58</v>
      </c>
      <c r="C155">
        <v>30</v>
      </c>
      <c r="E155" t="s">
        <v>70</v>
      </c>
    </row>
    <row r="156" spans="1:5" x14ac:dyDescent="0.3">
      <c r="A156" s="40">
        <v>43840.31563365741</v>
      </c>
      <c r="B156" t="s">
        <v>60</v>
      </c>
      <c r="C156">
        <v>26</v>
      </c>
      <c r="E156" t="s">
        <v>70</v>
      </c>
    </row>
    <row r="157" spans="1:5" x14ac:dyDescent="0.3">
      <c r="A157" s="40">
        <v>43856.285464560184</v>
      </c>
      <c r="B157" t="s">
        <v>52</v>
      </c>
      <c r="C157">
        <v>35</v>
      </c>
      <c r="E157" t="s">
        <v>69</v>
      </c>
    </row>
    <row r="158" spans="1:5" x14ac:dyDescent="0.3">
      <c r="A158" s="40">
        <v>43857.726571631945</v>
      </c>
      <c r="B158" t="s">
        <v>50</v>
      </c>
      <c r="C158">
        <v>20</v>
      </c>
      <c r="E158" t="s">
        <v>69</v>
      </c>
    </row>
    <row r="159" spans="1:5" x14ac:dyDescent="0.3">
      <c r="A159" s="40">
        <v>43868.220330370372</v>
      </c>
      <c r="B159" t="s">
        <v>54</v>
      </c>
      <c r="C159">
        <v>32</v>
      </c>
      <c r="E159" t="s">
        <v>69</v>
      </c>
    </row>
    <row r="160" spans="1:5" x14ac:dyDescent="0.3">
      <c r="A160" s="40">
        <v>43870.604314479169</v>
      </c>
      <c r="B160" t="s">
        <v>60</v>
      </c>
      <c r="C160">
        <v>39</v>
      </c>
      <c r="E160" t="s">
        <v>69</v>
      </c>
    </row>
    <row r="161" spans="1:5" x14ac:dyDescent="0.3">
      <c r="A161" s="40">
        <v>43877.341611099539</v>
      </c>
      <c r="B161" t="s">
        <v>50</v>
      </c>
      <c r="C161">
        <v>16</v>
      </c>
      <c r="E161" t="s">
        <v>70</v>
      </c>
    </row>
    <row r="162" spans="1:5" x14ac:dyDescent="0.3">
      <c r="A162" s="40">
        <v>43884.130658622686</v>
      </c>
      <c r="B162" t="s">
        <v>52</v>
      </c>
      <c r="C162">
        <v>33</v>
      </c>
      <c r="E162" t="s">
        <v>69</v>
      </c>
    </row>
    <row r="163" spans="1:5" x14ac:dyDescent="0.3">
      <c r="A163" s="40">
        <v>43889.024602824073</v>
      </c>
      <c r="B163" t="s">
        <v>56</v>
      </c>
      <c r="C163">
        <v>16</v>
      </c>
      <c r="E163" t="s">
        <v>70</v>
      </c>
    </row>
    <row r="164" spans="1:5" x14ac:dyDescent="0.3">
      <c r="A164" s="40">
        <v>43894.051341377315</v>
      </c>
      <c r="B164" t="s">
        <v>55</v>
      </c>
      <c r="C164">
        <v>39</v>
      </c>
      <c r="E164" t="s">
        <v>69</v>
      </c>
    </row>
    <row r="165" spans="1:5" x14ac:dyDescent="0.3">
      <c r="A165" s="40">
        <v>43894.69400653935</v>
      </c>
      <c r="B165" t="s">
        <v>50</v>
      </c>
      <c r="C165">
        <v>39</v>
      </c>
      <c r="E165" t="s">
        <v>70</v>
      </c>
    </row>
    <row r="166" spans="1:5" x14ac:dyDescent="0.3">
      <c r="A166" s="40">
        <v>43897.013452766201</v>
      </c>
      <c r="B166" t="s">
        <v>59</v>
      </c>
      <c r="C166">
        <v>38</v>
      </c>
      <c r="E166" t="s">
        <v>69</v>
      </c>
    </row>
    <row r="167" spans="1:5" x14ac:dyDescent="0.3">
      <c r="A167" s="40">
        <v>43904.475755821761</v>
      </c>
      <c r="B167" t="s">
        <v>49</v>
      </c>
      <c r="C167">
        <v>34</v>
      </c>
      <c r="E167" t="s">
        <v>70</v>
      </c>
    </row>
    <row r="168" spans="1:5" x14ac:dyDescent="0.3">
      <c r="A168" s="40">
        <v>43917.396138842596</v>
      </c>
      <c r="B168" t="s">
        <v>52</v>
      </c>
      <c r="C168">
        <v>22</v>
      </c>
      <c r="E168" t="s">
        <v>69</v>
      </c>
    </row>
    <row r="169" spans="1:5" x14ac:dyDescent="0.3">
      <c r="A169" s="40">
        <v>43923.832484791667</v>
      </c>
      <c r="B169" t="s">
        <v>51</v>
      </c>
      <c r="C169">
        <v>27</v>
      </c>
      <c r="E169" t="s">
        <v>70</v>
      </c>
    </row>
    <row r="170" spans="1:5" x14ac:dyDescent="0.3">
      <c r="A170" s="40">
        <v>43927.121661180558</v>
      </c>
      <c r="B170" t="s">
        <v>61</v>
      </c>
      <c r="C170">
        <v>34</v>
      </c>
      <c r="E170" t="s">
        <v>69</v>
      </c>
    </row>
    <row r="171" spans="1:5" x14ac:dyDescent="0.3">
      <c r="A171" s="40">
        <v>43933.457411469906</v>
      </c>
      <c r="B171" t="s">
        <v>59</v>
      </c>
      <c r="C171">
        <v>17</v>
      </c>
      <c r="E171" t="s">
        <v>70</v>
      </c>
    </row>
    <row r="172" spans="1:5" x14ac:dyDescent="0.3">
      <c r="A172" s="40">
        <v>43939.291511516203</v>
      </c>
      <c r="B172" t="s">
        <v>51</v>
      </c>
      <c r="C172">
        <v>29</v>
      </c>
      <c r="E172" t="s">
        <v>69</v>
      </c>
    </row>
    <row r="173" spans="1:5" x14ac:dyDescent="0.3">
      <c r="A173" s="40">
        <v>43941.142521238427</v>
      </c>
      <c r="B173" t="s">
        <v>59</v>
      </c>
      <c r="C173">
        <v>20</v>
      </c>
      <c r="E173" t="s">
        <v>70</v>
      </c>
    </row>
    <row r="174" spans="1:5" x14ac:dyDescent="0.3">
      <c r="A174" s="40">
        <v>43949.648510104169</v>
      </c>
      <c r="B174" t="s">
        <v>55</v>
      </c>
      <c r="C174">
        <v>14</v>
      </c>
      <c r="E174" t="s">
        <v>69</v>
      </c>
    </row>
    <row r="175" spans="1:5" x14ac:dyDescent="0.3">
      <c r="A175" s="40">
        <v>43959.905719594906</v>
      </c>
      <c r="B175" t="s">
        <v>52</v>
      </c>
      <c r="C175">
        <v>11</v>
      </c>
      <c r="E175" t="s">
        <v>70</v>
      </c>
    </row>
    <row r="176" spans="1:5" x14ac:dyDescent="0.3">
      <c r="A176" s="40">
        <v>43970.662422048612</v>
      </c>
      <c r="B176" t="s">
        <v>51</v>
      </c>
      <c r="C176">
        <v>28</v>
      </c>
      <c r="E176" t="s">
        <v>69</v>
      </c>
    </row>
    <row r="177" spans="1:5" x14ac:dyDescent="0.3">
      <c r="A177" s="40">
        <v>43985.890502141207</v>
      </c>
      <c r="B177" t="s">
        <v>59</v>
      </c>
      <c r="C177">
        <v>17</v>
      </c>
      <c r="E177" t="s">
        <v>70</v>
      </c>
    </row>
    <row r="178" spans="1:5" x14ac:dyDescent="0.3">
      <c r="A178" s="40">
        <v>43995.553612754629</v>
      </c>
      <c r="B178" t="s">
        <v>51</v>
      </c>
      <c r="C178">
        <v>34</v>
      </c>
      <c r="E178" t="s">
        <v>69</v>
      </c>
    </row>
    <row r="179" spans="1:5" x14ac:dyDescent="0.3">
      <c r="A179" s="40">
        <v>44019.143972951388</v>
      </c>
      <c r="B179" t="s">
        <v>50</v>
      </c>
      <c r="C179">
        <v>24</v>
      </c>
      <c r="E179" t="s">
        <v>69</v>
      </c>
    </row>
    <row r="180" spans="1:5" x14ac:dyDescent="0.3">
      <c r="A180" s="40">
        <v>44023.302238518518</v>
      </c>
      <c r="B180" t="s">
        <v>59</v>
      </c>
      <c r="C180">
        <v>12</v>
      </c>
      <c r="E180" t="s">
        <v>69</v>
      </c>
    </row>
    <row r="181" spans="1:5" x14ac:dyDescent="0.3">
      <c r="A181" s="40">
        <v>44026.899521504631</v>
      </c>
      <c r="B181" t="s">
        <v>58</v>
      </c>
      <c r="C181">
        <v>38</v>
      </c>
      <c r="E181" t="s">
        <v>69</v>
      </c>
    </row>
    <row r="182" spans="1:5" x14ac:dyDescent="0.3">
      <c r="A182" s="40">
        <v>44034.700138206019</v>
      </c>
      <c r="B182" t="s">
        <v>51</v>
      </c>
      <c r="C182">
        <v>24</v>
      </c>
      <c r="E182" t="s">
        <v>70</v>
      </c>
    </row>
    <row r="183" spans="1:5" x14ac:dyDescent="0.3">
      <c r="A183" s="40">
        <v>44038.898069872688</v>
      </c>
      <c r="B183" t="s">
        <v>55</v>
      </c>
      <c r="C183">
        <v>19</v>
      </c>
      <c r="E183" t="s">
        <v>69</v>
      </c>
    </row>
    <row r="184" spans="1:5" x14ac:dyDescent="0.3">
      <c r="A184" s="40">
        <v>44052.752740625001</v>
      </c>
      <c r="B184" t="s">
        <v>58</v>
      </c>
      <c r="C184">
        <v>14</v>
      </c>
      <c r="E184" t="s">
        <v>69</v>
      </c>
    </row>
    <row r="185" spans="1:5" x14ac:dyDescent="0.3">
      <c r="A185" s="40">
        <v>44060.155178807872</v>
      </c>
      <c r="B185" t="s">
        <v>53</v>
      </c>
      <c r="C185">
        <v>21</v>
      </c>
      <c r="E185" t="s">
        <v>69</v>
      </c>
    </row>
    <row r="186" spans="1:5" x14ac:dyDescent="0.3">
      <c r="A186" s="40">
        <v>44077.272752476849</v>
      </c>
      <c r="B186" t="s">
        <v>51</v>
      </c>
      <c r="C186">
        <v>37</v>
      </c>
      <c r="E186" t="s">
        <v>70</v>
      </c>
    </row>
    <row r="187" spans="1:5" x14ac:dyDescent="0.3">
      <c r="A187" s="40">
        <v>44082.034003414352</v>
      </c>
      <c r="B187" t="s">
        <v>51</v>
      </c>
      <c r="C187">
        <v>16</v>
      </c>
      <c r="E187" t="s">
        <v>69</v>
      </c>
    </row>
    <row r="188" spans="1:5" x14ac:dyDescent="0.3">
      <c r="A188" s="40">
        <v>44089.346790902775</v>
      </c>
      <c r="B188" t="s">
        <v>52</v>
      </c>
      <c r="C188">
        <v>34</v>
      </c>
      <c r="E188" t="s">
        <v>69</v>
      </c>
    </row>
    <row r="189" spans="1:5" x14ac:dyDescent="0.3">
      <c r="A189" s="40">
        <v>44091.612151793983</v>
      </c>
      <c r="B189" t="s">
        <v>60</v>
      </c>
      <c r="C189">
        <v>34</v>
      </c>
      <c r="E189" t="s">
        <v>69</v>
      </c>
    </row>
    <row r="190" spans="1:5" x14ac:dyDescent="0.3">
      <c r="A190" s="40">
        <v>44093.755565439817</v>
      </c>
      <c r="B190" t="s">
        <v>54</v>
      </c>
      <c r="C190">
        <v>12</v>
      </c>
      <c r="E190" t="s">
        <v>70</v>
      </c>
    </row>
    <row r="191" spans="1:5" x14ac:dyDescent="0.3">
      <c r="A191" s="40">
        <v>44109.39343989583</v>
      </c>
      <c r="B191" t="s">
        <v>52</v>
      </c>
      <c r="C191">
        <v>23</v>
      </c>
      <c r="E191" t="s">
        <v>69</v>
      </c>
    </row>
    <row r="192" spans="1:5" x14ac:dyDescent="0.3">
      <c r="A192" s="40">
        <v>44117.971184224538</v>
      </c>
      <c r="B192" t="s">
        <v>58</v>
      </c>
      <c r="C192">
        <v>13</v>
      </c>
      <c r="E192" t="s">
        <v>69</v>
      </c>
    </row>
    <row r="193" spans="1:5" x14ac:dyDescent="0.3">
      <c r="A193" s="40">
        <v>44119.859790972223</v>
      </c>
      <c r="B193" t="s">
        <v>51</v>
      </c>
      <c r="C193">
        <v>37</v>
      </c>
      <c r="E193" t="s">
        <v>69</v>
      </c>
    </row>
    <row r="194" spans="1:5" x14ac:dyDescent="0.3">
      <c r="A194" s="40">
        <v>44130.417985243053</v>
      </c>
      <c r="B194" t="s">
        <v>51</v>
      </c>
      <c r="C194">
        <v>31</v>
      </c>
      <c r="E194" t="s">
        <v>70</v>
      </c>
    </row>
    <row r="195" spans="1:5" x14ac:dyDescent="0.3">
      <c r="A195" s="40">
        <v>44138.969871331021</v>
      </c>
      <c r="B195" t="s">
        <v>60</v>
      </c>
      <c r="C195">
        <v>21</v>
      </c>
      <c r="E195" t="s">
        <v>69</v>
      </c>
    </row>
    <row r="196" spans="1:5" x14ac:dyDescent="0.3">
      <c r="A196" s="40">
        <v>44142.419525960649</v>
      </c>
      <c r="B196" t="s">
        <v>58</v>
      </c>
      <c r="C196">
        <v>25</v>
      </c>
      <c r="E196" t="s">
        <v>69</v>
      </c>
    </row>
    <row r="197" spans="1:5" x14ac:dyDescent="0.3">
      <c r="A197" s="40">
        <v>44144.708528310184</v>
      </c>
      <c r="B197" t="s">
        <v>55</v>
      </c>
      <c r="C197">
        <v>14</v>
      </c>
      <c r="E197" t="s">
        <v>69</v>
      </c>
    </row>
    <row r="198" spans="1:5" x14ac:dyDescent="0.3">
      <c r="A198" s="40">
        <v>44153.375301701388</v>
      </c>
      <c r="B198" t="s">
        <v>50</v>
      </c>
      <c r="C198">
        <v>37</v>
      </c>
      <c r="E198" t="s">
        <v>70</v>
      </c>
    </row>
    <row r="199" spans="1:5" x14ac:dyDescent="0.3">
      <c r="A199" s="40">
        <v>44166.764069907411</v>
      </c>
      <c r="B199" t="s">
        <v>49</v>
      </c>
      <c r="C199">
        <v>14</v>
      </c>
      <c r="E199" t="s">
        <v>69</v>
      </c>
    </row>
    <row r="200" spans="1:5" x14ac:dyDescent="0.3">
      <c r="A200" s="40">
        <v>44168.372073379629</v>
      </c>
      <c r="B200" t="s">
        <v>51</v>
      </c>
      <c r="C200">
        <v>23</v>
      </c>
      <c r="E200" t="s">
        <v>69</v>
      </c>
    </row>
    <row r="201" spans="1:5" x14ac:dyDescent="0.3">
      <c r="A201" s="40">
        <v>44172.791236319441</v>
      </c>
      <c r="B201" t="s">
        <v>54</v>
      </c>
      <c r="C201">
        <v>15</v>
      </c>
      <c r="E201" t="s">
        <v>69</v>
      </c>
    </row>
    <row r="202" spans="1:5" x14ac:dyDescent="0.3">
      <c r="A202" s="40">
        <v>44191.577530879629</v>
      </c>
      <c r="B202" t="s">
        <v>61</v>
      </c>
      <c r="C202">
        <v>24</v>
      </c>
      <c r="E202" t="s">
        <v>69</v>
      </c>
    </row>
    <row r="203" spans="1:5" x14ac:dyDescent="0.3">
      <c r="A203" s="40">
        <v>44199.838401527777</v>
      </c>
      <c r="B203" t="s">
        <v>54</v>
      </c>
      <c r="C203">
        <v>23</v>
      </c>
      <c r="E203" t="s">
        <v>69</v>
      </c>
    </row>
    <row r="204" spans="1:5" x14ac:dyDescent="0.3">
      <c r="A204" s="40">
        <v>44210.914496122685</v>
      </c>
      <c r="B204" t="s">
        <v>56</v>
      </c>
      <c r="C204">
        <v>11</v>
      </c>
      <c r="E204" t="s">
        <v>69</v>
      </c>
    </row>
    <row r="205" spans="1:5" x14ac:dyDescent="0.3">
      <c r="A205" s="40">
        <v>44215.089094351853</v>
      </c>
      <c r="B205" t="s">
        <v>60</v>
      </c>
      <c r="C205">
        <v>12</v>
      </c>
      <c r="E205" t="s">
        <v>69</v>
      </c>
    </row>
    <row r="206" spans="1:5" x14ac:dyDescent="0.3">
      <c r="A206" s="40">
        <v>44227.478009467595</v>
      </c>
      <c r="B206" t="s">
        <v>51</v>
      </c>
      <c r="C206">
        <v>19</v>
      </c>
      <c r="E206" t="s">
        <v>69</v>
      </c>
    </row>
    <row r="207" spans="1:5" x14ac:dyDescent="0.3">
      <c r="A207" s="40">
        <v>44236.822675902775</v>
      </c>
      <c r="B207" t="s">
        <v>50</v>
      </c>
      <c r="C207">
        <v>40</v>
      </c>
      <c r="E207" t="s">
        <v>69</v>
      </c>
    </row>
    <row r="208" spans="1:5" x14ac:dyDescent="0.3">
      <c r="A208" s="40">
        <v>44241.384426909724</v>
      </c>
      <c r="B208" t="s">
        <v>56</v>
      </c>
      <c r="C208">
        <v>12</v>
      </c>
      <c r="E208" t="s">
        <v>69</v>
      </c>
    </row>
    <row r="209" spans="1:5" x14ac:dyDescent="0.3">
      <c r="A209" s="40">
        <v>44247.857225740743</v>
      </c>
      <c r="B209" t="s">
        <v>59</v>
      </c>
      <c r="C209">
        <v>20</v>
      </c>
      <c r="E209" t="s">
        <v>69</v>
      </c>
    </row>
    <row r="210" spans="1:5" x14ac:dyDescent="0.3">
      <c r="A210" s="40">
        <v>44279.024333148147</v>
      </c>
      <c r="B210" t="s">
        <v>54</v>
      </c>
      <c r="C210">
        <v>35</v>
      </c>
      <c r="E210" t="s">
        <v>69</v>
      </c>
    </row>
    <row r="211" spans="1:5" x14ac:dyDescent="0.3">
      <c r="A211" s="40">
        <v>44286.434090543982</v>
      </c>
      <c r="B211" t="s">
        <v>57</v>
      </c>
      <c r="C211">
        <v>18</v>
      </c>
      <c r="E211" t="s">
        <v>69</v>
      </c>
    </row>
    <row r="212" spans="1:5" x14ac:dyDescent="0.3">
      <c r="A212" s="40">
        <v>44303.019638425925</v>
      </c>
      <c r="B212" t="s">
        <v>50</v>
      </c>
      <c r="C212">
        <v>21</v>
      </c>
      <c r="E212" t="s">
        <v>69</v>
      </c>
    </row>
    <row r="213" spans="1:5" x14ac:dyDescent="0.3">
      <c r="A213" s="40">
        <v>44304.855890243052</v>
      </c>
      <c r="B213" t="s">
        <v>56</v>
      </c>
      <c r="C213">
        <v>32</v>
      </c>
      <c r="E213" t="s">
        <v>69</v>
      </c>
    </row>
    <row r="214" spans="1:5" x14ac:dyDescent="0.3">
      <c r="A214" s="40">
        <v>44309.006631921293</v>
      </c>
      <c r="B214" t="s">
        <v>49</v>
      </c>
      <c r="C214">
        <v>24</v>
      </c>
      <c r="E214" t="s">
        <v>69</v>
      </c>
    </row>
    <row r="215" spans="1:5" x14ac:dyDescent="0.3">
      <c r="A215" s="40">
        <v>44317.330803495373</v>
      </c>
      <c r="B215" t="s">
        <v>61</v>
      </c>
      <c r="C215">
        <v>39</v>
      </c>
      <c r="E215" t="s">
        <v>70</v>
      </c>
    </row>
    <row r="216" spans="1:5" x14ac:dyDescent="0.3">
      <c r="A216" s="40">
        <v>44325.492143854164</v>
      </c>
      <c r="B216" t="s">
        <v>52</v>
      </c>
      <c r="C216">
        <v>29</v>
      </c>
      <c r="E216" t="s">
        <v>69</v>
      </c>
    </row>
    <row r="217" spans="1:5" x14ac:dyDescent="0.3">
      <c r="A217" s="40">
        <v>44347.964683379629</v>
      </c>
      <c r="B217" t="s">
        <v>56</v>
      </c>
      <c r="C217">
        <v>31</v>
      </c>
      <c r="E217" t="s">
        <v>69</v>
      </c>
    </row>
    <row r="218" spans="1:5" x14ac:dyDescent="0.3">
      <c r="A218" s="40">
        <v>44359.048262430559</v>
      </c>
      <c r="B218" t="s">
        <v>61</v>
      </c>
      <c r="C218">
        <v>24</v>
      </c>
      <c r="E218" t="s">
        <v>70</v>
      </c>
    </row>
    <row r="219" spans="1:5" x14ac:dyDescent="0.3">
      <c r="A219" s="40">
        <v>44368.761271134259</v>
      </c>
      <c r="B219" t="s">
        <v>50</v>
      </c>
      <c r="C219">
        <v>33</v>
      </c>
      <c r="E219" t="s">
        <v>70</v>
      </c>
    </row>
    <row r="220" spans="1:5" x14ac:dyDescent="0.3">
      <c r="A220" s="40">
        <v>44386.087288368057</v>
      </c>
      <c r="B220" t="s">
        <v>49</v>
      </c>
      <c r="C220">
        <v>28</v>
      </c>
      <c r="E220" t="s">
        <v>70</v>
      </c>
    </row>
    <row r="221" spans="1:5" x14ac:dyDescent="0.3">
      <c r="A221" s="40">
        <v>44400.996464293981</v>
      </c>
      <c r="B221" t="s">
        <v>59</v>
      </c>
      <c r="C221">
        <v>37</v>
      </c>
      <c r="E221" t="s">
        <v>70</v>
      </c>
    </row>
    <row r="222" spans="1:5" x14ac:dyDescent="0.3">
      <c r="A222" s="40">
        <v>44404.03064809028</v>
      </c>
      <c r="B222" t="s">
        <v>50</v>
      </c>
      <c r="C222">
        <v>21</v>
      </c>
      <c r="E222" t="s">
        <v>70</v>
      </c>
    </row>
    <row r="223" spans="1:5" x14ac:dyDescent="0.3">
      <c r="A223" s="40">
        <v>44411.314088657404</v>
      </c>
      <c r="B223" t="s">
        <v>52</v>
      </c>
      <c r="C223">
        <v>23</v>
      </c>
      <c r="E223" t="s">
        <v>70</v>
      </c>
    </row>
    <row r="224" spans="1:5" x14ac:dyDescent="0.3">
      <c r="A224" s="40">
        <v>44418.073134062499</v>
      </c>
      <c r="B224" t="s">
        <v>52</v>
      </c>
      <c r="C224">
        <v>31</v>
      </c>
      <c r="E224" t="s">
        <v>70</v>
      </c>
    </row>
    <row r="225" spans="1:5" x14ac:dyDescent="0.3">
      <c r="A225" s="40">
        <v>44421.820329826391</v>
      </c>
      <c r="B225" t="s">
        <v>61</v>
      </c>
      <c r="C225">
        <v>18</v>
      </c>
      <c r="E225" t="s">
        <v>70</v>
      </c>
    </row>
    <row r="226" spans="1:5" x14ac:dyDescent="0.3">
      <c r="A226" s="40">
        <v>44436.088904756944</v>
      </c>
      <c r="B226" t="s">
        <v>50</v>
      </c>
      <c r="C226">
        <v>11</v>
      </c>
      <c r="E226" t="s">
        <v>70</v>
      </c>
    </row>
    <row r="227" spans="1:5" x14ac:dyDescent="0.3">
      <c r="A227" s="40"/>
    </row>
    <row r="228" spans="1:5" x14ac:dyDescent="0.3">
      <c r="A228" s="40"/>
    </row>
    <row r="229" spans="1:5" x14ac:dyDescent="0.3">
      <c r="A229" s="40"/>
    </row>
    <row r="230" spans="1:5" x14ac:dyDescent="0.3">
      <c r="A230" s="40"/>
    </row>
    <row r="231" spans="1:5" x14ac:dyDescent="0.3">
      <c r="A231" s="40"/>
    </row>
    <row r="232" spans="1:5" x14ac:dyDescent="0.3">
      <c r="A232" s="40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AC44-F289-4C05-88A6-B6B129B20FFB}">
  <dimension ref="A1:E232"/>
  <sheetViews>
    <sheetView workbookViewId="0">
      <selection activeCell="Q15" sqref="Q15"/>
    </sheetView>
  </sheetViews>
  <sheetFormatPr defaultRowHeight="14.4" x14ac:dyDescent="0.3"/>
  <cols>
    <col min="1" max="1" width="15.33203125" bestFit="1" customWidth="1"/>
    <col min="2" max="2" width="27.6640625" bestFit="1" customWidth="1"/>
    <col min="3" max="3" width="28.33203125" bestFit="1" customWidth="1"/>
    <col min="4" max="4" width="11" bestFit="1" customWidth="1"/>
    <col min="5" max="5" width="19" bestFit="1" customWidth="1"/>
  </cols>
  <sheetData>
    <row r="1" spans="1:5" x14ac:dyDescent="0.3">
      <c r="A1" t="s">
        <v>62</v>
      </c>
      <c r="B1" t="s">
        <v>47</v>
      </c>
      <c r="C1" t="s">
        <v>63</v>
      </c>
      <c r="D1" t="s">
        <v>64</v>
      </c>
      <c r="E1" t="s">
        <v>65</v>
      </c>
    </row>
    <row r="2" spans="1:5" x14ac:dyDescent="0.3">
      <c r="A2" s="40">
        <v>42386.496562696761</v>
      </c>
      <c r="B2" t="s">
        <v>59</v>
      </c>
      <c r="C2">
        <v>25</v>
      </c>
      <c r="E2" t="s">
        <v>79</v>
      </c>
    </row>
    <row r="3" spans="1:5" x14ac:dyDescent="0.3">
      <c r="A3" s="40">
        <v>42389.494366030092</v>
      </c>
      <c r="B3" t="s">
        <v>53</v>
      </c>
      <c r="C3">
        <v>11</v>
      </c>
      <c r="E3" t="s">
        <v>80</v>
      </c>
    </row>
    <row r="4" spans="1:5" x14ac:dyDescent="0.3">
      <c r="A4" s="40">
        <v>42390.648076747682</v>
      </c>
      <c r="B4" t="s">
        <v>51</v>
      </c>
      <c r="C4">
        <v>18</v>
      </c>
      <c r="E4" t="s">
        <v>81</v>
      </c>
    </row>
    <row r="5" spans="1:5" x14ac:dyDescent="0.3">
      <c r="A5" s="40">
        <v>42400.337457870373</v>
      </c>
      <c r="B5" t="s">
        <v>50</v>
      </c>
      <c r="C5">
        <v>38</v>
      </c>
      <c r="E5" t="s">
        <v>80</v>
      </c>
    </row>
    <row r="6" spans="1:5" x14ac:dyDescent="0.3">
      <c r="A6" s="40">
        <v>42423.845303622686</v>
      </c>
      <c r="B6" t="s">
        <v>60</v>
      </c>
      <c r="C6">
        <v>29</v>
      </c>
      <c r="E6" t="s">
        <v>81</v>
      </c>
    </row>
    <row r="7" spans="1:5" x14ac:dyDescent="0.3">
      <c r="A7" s="40">
        <v>42435.165003310183</v>
      </c>
      <c r="B7" t="s">
        <v>51</v>
      </c>
      <c r="C7">
        <v>25</v>
      </c>
      <c r="E7" t="s">
        <v>80</v>
      </c>
    </row>
    <row r="8" spans="1:5" x14ac:dyDescent="0.3">
      <c r="A8" s="40">
        <v>42456.288040312502</v>
      </c>
      <c r="B8" t="s">
        <v>57</v>
      </c>
      <c r="C8">
        <v>35</v>
      </c>
      <c r="E8" t="s">
        <v>80</v>
      </c>
    </row>
    <row r="9" spans="1:5" x14ac:dyDescent="0.3">
      <c r="A9" s="40">
        <v>42474.675003993056</v>
      </c>
      <c r="B9" t="s">
        <v>52</v>
      </c>
      <c r="C9">
        <v>30</v>
      </c>
      <c r="E9" t="s">
        <v>79</v>
      </c>
    </row>
    <row r="10" spans="1:5" x14ac:dyDescent="0.3">
      <c r="A10" s="40">
        <v>42490.470734826391</v>
      </c>
      <c r="B10" t="s">
        <v>61</v>
      </c>
      <c r="C10">
        <v>21</v>
      </c>
      <c r="E10" t="s">
        <v>80</v>
      </c>
    </row>
    <row r="11" spans="1:5" x14ac:dyDescent="0.3">
      <c r="A11" s="40">
        <v>42496.19849490741</v>
      </c>
      <c r="B11" t="s">
        <v>50</v>
      </c>
      <c r="C11">
        <v>34</v>
      </c>
      <c r="E11" t="s">
        <v>79</v>
      </c>
    </row>
    <row r="12" spans="1:5" x14ac:dyDescent="0.3">
      <c r="A12" s="40">
        <v>42497.076318877313</v>
      </c>
      <c r="B12" t="s">
        <v>58</v>
      </c>
      <c r="C12">
        <v>20</v>
      </c>
      <c r="E12" t="s">
        <v>79</v>
      </c>
    </row>
    <row r="13" spans="1:5" x14ac:dyDescent="0.3">
      <c r="A13" s="40">
        <v>42515.362519189817</v>
      </c>
      <c r="B13" t="s">
        <v>55</v>
      </c>
      <c r="C13">
        <v>33</v>
      </c>
      <c r="E13" t="s">
        <v>79</v>
      </c>
    </row>
    <row r="14" spans="1:5" x14ac:dyDescent="0.3">
      <c r="A14" s="40">
        <v>42515.555511736115</v>
      </c>
      <c r="B14" t="s">
        <v>56</v>
      </c>
      <c r="C14">
        <v>26</v>
      </c>
      <c r="E14" t="s">
        <v>79</v>
      </c>
    </row>
    <row r="15" spans="1:5" x14ac:dyDescent="0.3">
      <c r="A15" s="40">
        <v>42524.232749861112</v>
      </c>
      <c r="B15" t="s">
        <v>49</v>
      </c>
      <c r="C15">
        <v>18</v>
      </c>
      <c r="E15" t="s">
        <v>81</v>
      </c>
    </row>
    <row r="16" spans="1:5" x14ac:dyDescent="0.3">
      <c r="A16" s="40">
        <v>42528.369120613424</v>
      </c>
      <c r="B16" t="s">
        <v>56</v>
      </c>
      <c r="C16">
        <v>32</v>
      </c>
      <c r="E16" t="s">
        <v>81</v>
      </c>
    </row>
    <row r="17" spans="1:5" x14ac:dyDescent="0.3">
      <c r="A17" s="40">
        <v>42545.247661643516</v>
      </c>
      <c r="B17" t="s">
        <v>60</v>
      </c>
      <c r="C17">
        <v>14</v>
      </c>
      <c r="E17" t="s">
        <v>81</v>
      </c>
    </row>
    <row r="18" spans="1:5" x14ac:dyDescent="0.3">
      <c r="A18" s="40">
        <v>42564.928523159724</v>
      </c>
      <c r="B18" t="s">
        <v>49</v>
      </c>
      <c r="C18">
        <v>13</v>
      </c>
      <c r="E18" t="s">
        <v>81</v>
      </c>
    </row>
    <row r="19" spans="1:5" x14ac:dyDescent="0.3">
      <c r="A19" s="40">
        <v>42575.02342287037</v>
      </c>
      <c r="B19" t="s">
        <v>50</v>
      </c>
      <c r="C19">
        <v>35</v>
      </c>
      <c r="E19" t="s">
        <v>79</v>
      </c>
    </row>
    <row r="20" spans="1:5" x14ac:dyDescent="0.3">
      <c r="A20" s="40">
        <v>42576.771311585646</v>
      </c>
      <c r="B20" t="s">
        <v>52</v>
      </c>
      <c r="C20">
        <v>27</v>
      </c>
      <c r="E20" t="s">
        <v>79</v>
      </c>
    </row>
    <row r="21" spans="1:5" x14ac:dyDescent="0.3">
      <c r="A21" s="40">
        <v>42589.100414409724</v>
      </c>
      <c r="B21" t="s">
        <v>50</v>
      </c>
      <c r="C21">
        <v>13</v>
      </c>
      <c r="E21" t="s">
        <v>80</v>
      </c>
    </row>
    <row r="22" spans="1:5" x14ac:dyDescent="0.3">
      <c r="A22" s="40">
        <v>42597.859934733795</v>
      </c>
      <c r="B22" t="s">
        <v>49</v>
      </c>
      <c r="C22">
        <v>13</v>
      </c>
      <c r="E22" t="s">
        <v>81</v>
      </c>
    </row>
    <row r="23" spans="1:5" x14ac:dyDescent="0.3">
      <c r="A23" s="40">
        <v>42601.460974456022</v>
      </c>
      <c r="B23" t="s">
        <v>60</v>
      </c>
      <c r="C23">
        <v>36</v>
      </c>
      <c r="E23" t="s">
        <v>81</v>
      </c>
    </row>
    <row r="24" spans="1:5" x14ac:dyDescent="0.3">
      <c r="A24" s="40">
        <v>42607.014577615744</v>
      </c>
      <c r="B24" t="s">
        <v>54</v>
      </c>
      <c r="C24">
        <v>21</v>
      </c>
      <c r="E24" t="s">
        <v>79</v>
      </c>
    </row>
    <row r="25" spans="1:5" x14ac:dyDescent="0.3">
      <c r="A25" s="40">
        <v>42618.395399525463</v>
      </c>
      <c r="B25" t="s">
        <v>59</v>
      </c>
      <c r="C25">
        <v>20</v>
      </c>
      <c r="E25" t="s">
        <v>79</v>
      </c>
    </row>
    <row r="26" spans="1:5" x14ac:dyDescent="0.3">
      <c r="A26" s="40">
        <v>42639.924336898148</v>
      </c>
      <c r="B26" t="s">
        <v>61</v>
      </c>
      <c r="C26">
        <v>32</v>
      </c>
      <c r="E26" t="s">
        <v>80</v>
      </c>
    </row>
    <row r="27" spans="1:5" x14ac:dyDescent="0.3">
      <c r="A27" s="40">
        <v>42658.777932060184</v>
      </c>
      <c r="B27" t="s">
        <v>59</v>
      </c>
      <c r="C27">
        <v>35</v>
      </c>
      <c r="E27" t="s">
        <v>81</v>
      </c>
    </row>
    <row r="28" spans="1:5" x14ac:dyDescent="0.3">
      <c r="A28" s="40">
        <v>42659.164022002318</v>
      </c>
      <c r="B28" t="s">
        <v>51</v>
      </c>
      <c r="C28">
        <v>33</v>
      </c>
      <c r="E28" t="s">
        <v>80</v>
      </c>
    </row>
    <row r="29" spans="1:5" x14ac:dyDescent="0.3">
      <c r="A29" s="40">
        <v>42665.665978541663</v>
      </c>
      <c r="B29" t="s">
        <v>61</v>
      </c>
      <c r="C29">
        <v>29</v>
      </c>
      <c r="E29" t="s">
        <v>80</v>
      </c>
    </row>
    <row r="30" spans="1:5" x14ac:dyDescent="0.3">
      <c r="A30" s="40">
        <v>42667.670889976849</v>
      </c>
      <c r="B30" t="s">
        <v>52</v>
      </c>
      <c r="C30">
        <v>29</v>
      </c>
      <c r="E30" t="s">
        <v>79</v>
      </c>
    </row>
    <row r="31" spans="1:5" x14ac:dyDescent="0.3">
      <c r="A31" s="40">
        <v>42678.821887395832</v>
      </c>
      <c r="B31" t="s">
        <v>54</v>
      </c>
      <c r="C31">
        <v>14</v>
      </c>
      <c r="E31" t="s">
        <v>81</v>
      </c>
    </row>
    <row r="32" spans="1:5" x14ac:dyDescent="0.3">
      <c r="A32" s="40">
        <v>42685.015121192133</v>
      </c>
      <c r="B32" t="s">
        <v>59</v>
      </c>
      <c r="C32">
        <v>18</v>
      </c>
      <c r="E32" t="s">
        <v>81</v>
      </c>
    </row>
    <row r="33" spans="1:5" x14ac:dyDescent="0.3">
      <c r="A33" s="40">
        <v>42687.90912261574</v>
      </c>
      <c r="B33" t="s">
        <v>60</v>
      </c>
      <c r="C33">
        <v>14</v>
      </c>
      <c r="E33" t="s">
        <v>81</v>
      </c>
    </row>
    <row r="34" spans="1:5" x14ac:dyDescent="0.3">
      <c r="A34" s="40">
        <v>42692.113188333336</v>
      </c>
      <c r="B34" t="s">
        <v>51</v>
      </c>
      <c r="C34">
        <v>11</v>
      </c>
      <c r="E34" t="s">
        <v>81</v>
      </c>
    </row>
    <row r="35" spans="1:5" x14ac:dyDescent="0.3">
      <c r="A35" s="40">
        <v>42716.816704606485</v>
      </c>
      <c r="B35" t="s">
        <v>51</v>
      </c>
      <c r="C35">
        <v>26</v>
      </c>
      <c r="E35" t="s">
        <v>81</v>
      </c>
    </row>
    <row r="36" spans="1:5" x14ac:dyDescent="0.3">
      <c r="A36" s="40">
        <v>42718.366106365742</v>
      </c>
      <c r="B36" t="s">
        <v>53</v>
      </c>
      <c r="C36">
        <v>21</v>
      </c>
      <c r="E36" t="s">
        <v>79</v>
      </c>
    </row>
    <row r="37" spans="1:5" x14ac:dyDescent="0.3">
      <c r="A37" s="40">
        <v>42736.95819020833</v>
      </c>
      <c r="B37" t="s">
        <v>49</v>
      </c>
      <c r="C37">
        <v>24</v>
      </c>
      <c r="E37" t="s">
        <v>79</v>
      </c>
    </row>
    <row r="38" spans="1:5" x14ac:dyDescent="0.3">
      <c r="A38" s="40">
        <v>42743.493907488424</v>
      </c>
      <c r="B38" t="s">
        <v>51</v>
      </c>
      <c r="C38">
        <v>19</v>
      </c>
      <c r="E38" t="s">
        <v>79</v>
      </c>
    </row>
    <row r="39" spans="1:5" x14ac:dyDescent="0.3">
      <c r="A39" s="40">
        <v>42763.087618217593</v>
      </c>
      <c r="B39" t="s">
        <v>54</v>
      </c>
      <c r="C39">
        <v>36</v>
      </c>
      <c r="E39" t="s">
        <v>80</v>
      </c>
    </row>
    <row r="40" spans="1:5" x14ac:dyDescent="0.3">
      <c r="A40" s="40">
        <v>42766.874845914354</v>
      </c>
      <c r="B40" t="s">
        <v>61</v>
      </c>
      <c r="C40">
        <v>28</v>
      </c>
      <c r="E40" t="s">
        <v>81</v>
      </c>
    </row>
    <row r="41" spans="1:5" x14ac:dyDescent="0.3">
      <c r="A41" s="40">
        <v>42777.036817372682</v>
      </c>
      <c r="B41" t="s">
        <v>52</v>
      </c>
      <c r="C41">
        <v>40</v>
      </c>
      <c r="E41" t="s">
        <v>79</v>
      </c>
    </row>
    <row r="42" spans="1:5" x14ac:dyDescent="0.3">
      <c r="A42" s="40">
        <v>42778.891987430557</v>
      </c>
      <c r="B42" t="s">
        <v>52</v>
      </c>
      <c r="C42">
        <v>22</v>
      </c>
      <c r="E42" t="s">
        <v>79</v>
      </c>
    </row>
    <row r="43" spans="1:5" x14ac:dyDescent="0.3">
      <c r="A43" s="40">
        <v>42782.312624872684</v>
      </c>
      <c r="B43" t="s">
        <v>56</v>
      </c>
      <c r="C43">
        <v>12</v>
      </c>
      <c r="E43" t="s">
        <v>79</v>
      </c>
    </row>
    <row r="44" spans="1:5" x14ac:dyDescent="0.3">
      <c r="A44" s="40">
        <v>42786.300466990739</v>
      </c>
      <c r="B44" t="s">
        <v>57</v>
      </c>
      <c r="C44">
        <v>21</v>
      </c>
      <c r="E44" t="s">
        <v>81</v>
      </c>
    </row>
    <row r="45" spans="1:5" x14ac:dyDescent="0.3">
      <c r="A45" s="40">
        <v>42793.627321319444</v>
      </c>
      <c r="B45" t="s">
        <v>52</v>
      </c>
      <c r="C45">
        <v>24</v>
      </c>
      <c r="E45" t="s">
        <v>80</v>
      </c>
    </row>
    <row r="46" spans="1:5" x14ac:dyDescent="0.3">
      <c r="A46" s="40">
        <v>42796.259298124998</v>
      </c>
      <c r="B46" t="s">
        <v>51</v>
      </c>
      <c r="C46">
        <v>24</v>
      </c>
      <c r="E46" t="s">
        <v>80</v>
      </c>
    </row>
    <row r="47" spans="1:5" x14ac:dyDescent="0.3">
      <c r="A47" s="40">
        <v>42807.75578136574</v>
      </c>
      <c r="B47" t="s">
        <v>51</v>
      </c>
      <c r="C47">
        <v>34</v>
      </c>
      <c r="E47" t="s">
        <v>81</v>
      </c>
    </row>
    <row r="48" spans="1:5" x14ac:dyDescent="0.3">
      <c r="A48" s="40">
        <v>42811.089709178239</v>
      </c>
      <c r="B48" t="s">
        <v>59</v>
      </c>
      <c r="C48">
        <v>40</v>
      </c>
      <c r="E48" t="s">
        <v>79</v>
      </c>
    </row>
    <row r="49" spans="1:5" x14ac:dyDescent="0.3">
      <c r="A49" s="40">
        <v>42823.964082905091</v>
      </c>
      <c r="B49" t="s">
        <v>59</v>
      </c>
      <c r="C49">
        <v>14</v>
      </c>
      <c r="E49" t="s">
        <v>81</v>
      </c>
    </row>
    <row r="50" spans="1:5" x14ac:dyDescent="0.3">
      <c r="A50" s="40">
        <v>42838.10443068287</v>
      </c>
      <c r="B50" t="s">
        <v>59</v>
      </c>
      <c r="C50">
        <v>31</v>
      </c>
      <c r="E50" t="s">
        <v>80</v>
      </c>
    </row>
    <row r="51" spans="1:5" x14ac:dyDescent="0.3">
      <c r="A51" s="40">
        <v>42838.791273206021</v>
      </c>
      <c r="B51" t="s">
        <v>51</v>
      </c>
      <c r="C51">
        <v>21</v>
      </c>
      <c r="E51" t="s">
        <v>79</v>
      </c>
    </row>
    <row r="52" spans="1:5" x14ac:dyDescent="0.3">
      <c r="A52" s="40">
        <v>42840.773482407407</v>
      </c>
      <c r="B52" t="s">
        <v>59</v>
      </c>
      <c r="C52">
        <v>23</v>
      </c>
      <c r="E52" t="s">
        <v>80</v>
      </c>
    </row>
    <row r="53" spans="1:5" x14ac:dyDescent="0.3">
      <c r="A53" s="40">
        <v>42850.476000752315</v>
      </c>
      <c r="B53" t="s">
        <v>49</v>
      </c>
      <c r="C53">
        <v>37</v>
      </c>
      <c r="E53" t="s">
        <v>79</v>
      </c>
    </row>
    <row r="54" spans="1:5" x14ac:dyDescent="0.3">
      <c r="A54" s="40">
        <v>42852.341392037037</v>
      </c>
      <c r="B54" t="s">
        <v>52</v>
      </c>
      <c r="C54">
        <v>24</v>
      </c>
      <c r="E54" t="s">
        <v>81</v>
      </c>
    </row>
    <row r="55" spans="1:5" x14ac:dyDescent="0.3">
      <c r="A55" s="40">
        <v>42869.691286064815</v>
      </c>
      <c r="B55" t="s">
        <v>57</v>
      </c>
      <c r="C55">
        <v>20</v>
      </c>
      <c r="E55" t="s">
        <v>79</v>
      </c>
    </row>
    <row r="56" spans="1:5" x14ac:dyDescent="0.3">
      <c r="A56" s="40">
        <v>42892.095977777775</v>
      </c>
      <c r="B56" t="s">
        <v>51</v>
      </c>
      <c r="C56">
        <v>20</v>
      </c>
      <c r="E56" t="s">
        <v>80</v>
      </c>
    </row>
    <row r="57" spans="1:5" x14ac:dyDescent="0.3">
      <c r="A57" s="40">
        <v>42899.278695451387</v>
      </c>
      <c r="B57" t="s">
        <v>58</v>
      </c>
      <c r="C57">
        <v>18</v>
      </c>
      <c r="E57" t="s">
        <v>81</v>
      </c>
    </row>
    <row r="58" spans="1:5" x14ac:dyDescent="0.3">
      <c r="A58" s="40">
        <v>42902.497117557868</v>
      </c>
      <c r="B58" t="s">
        <v>50</v>
      </c>
      <c r="C58">
        <v>38</v>
      </c>
      <c r="E58" t="s">
        <v>80</v>
      </c>
    </row>
    <row r="59" spans="1:5" x14ac:dyDescent="0.3">
      <c r="A59" s="40">
        <v>42906.03043071759</v>
      </c>
      <c r="B59" t="s">
        <v>54</v>
      </c>
      <c r="C59">
        <v>34</v>
      </c>
      <c r="E59" t="s">
        <v>79</v>
      </c>
    </row>
    <row r="60" spans="1:5" x14ac:dyDescent="0.3">
      <c r="A60" s="40">
        <v>42911.016017407404</v>
      </c>
      <c r="B60" t="s">
        <v>51</v>
      </c>
      <c r="C60">
        <v>34</v>
      </c>
      <c r="E60" t="s">
        <v>80</v>
      </c>
    </row>
    <row r="61" spans="1:5" x14ac:dyDescent="0.3">
      <c r="A61" s="40">
        <v>42932.511253969904</v>
      </c>
      <c r="B61" t="s">
        <v>59</v>
      </c>
      <c r="C61">
        <v>38</v>
      </c>
      <c r="E61" t="s">
        <v>81</v>
      </c>
    </row>
    <row r="62" spans="1:5" x14ac:dyDescent="0.3">
      <c r="A62" s="40">
        <v>42958.116787881947</v>
      </c>
      <c r="B62" t="s">
        <v>52</v>
      </c>
      <c r="C62">
        <v>37</v>
      </c>
      <c r="E62" t="s">
        <v>80</v>
      </c>
    </row>
    <row r="63" spans="1:5" x14ac:dyDescent="0.3">
      <c r="A63" s="40">
        <v>42966.021986874999</v>
      </c>
      <c r="B63" t="s">
        <v>54</v>
      </c>
      <c r="C63">
        <v>24</v>
      </c>
      <c r="E63" t="s">
        <v>81</v>
      </c>
    </row>
    <row r="64" spans="1:5" x14ac:dyDescent="0.3">
      <c r="A64" s="40">
        <v>42994.800435787038</v>
      </c>
      <c r="B64" t="s">
        <v>53</v>
      </c>
      <c r="C64">
        <v>23</v>
      </c>
      <c r="E64" t="s">
        <v>81</v>
      </c>
    </row>
    <row r="65" spans="1:5" x14ac:dyDescent="0.3">
      <c r="A65" s="40">
        <v>43000.015154305554</v>
      </c>
      <c r="B65" t="s">
        <v>59</v>
      </c>
      <c r="C65">
        <v>15</v>
      </c>
      <c r="E65" t="s">
        <v>79</v>
      </c>
    </row>
    <row r="66" spans="1:5" x14ac:dyDescent="0.3">
      <c r="A66" s="40">
        <v>43004.845839305555</v>
      </c>
      <c r="B66" t="s">
        <v>52</v>
      </c>
      <c r="C66">
        <v>26</v>
      </c>
      <c r="E66" t="s">
        <v>79</v>
      </c>
    </row>
    <row r="67" spans="1:5" x14ac:dyDescent="0.3">
      <c r="A67" s="40">
        <v>43008.059360624997</v>
      </c>
      <c r="B67" t="s">
        <v>52</v>
      </c>
      <c r="C67">
        <v>21</v>
      </c>
      <c r="E67" t="s">
        <v>81</v>
      </c>
    </row>
    <row r="68" spans="1:5" x14ac:dyDescent="0.3">
      <c r="A68" s="40">
        <v>43012.590469814815</v>
      </c>
      <c r="B68" t="s">
        <v>51</v>
      </c>
      <c r="C68">
        <v>23</v>
      </c>
      <c r="E68" t="s">
        <v>80</v>
      </c>
    </row>
    <row r="69" spans="1:5" x14ac:dyDescent="0.3">
      <c r="A69" s="40">
        <v>43024.489909652781</v>
      </c>
      <c r="B69" t="s">
        <v>52</v>
      </c>
      <c r="C69">
        <v>14</v>
      </c>
      <c r="E69" t="s">
        <v>79</v>
      </c>
    </row>
    <row r="70" spans="1:5" x14ac:dyDescent="0.3">
      <c r="A70" s="40">
        <v>43042.082912083337</v>
      </c>
      <c r="B70" t="s">
        <v>59</v>
      </c>
      <c r="C70">
        <v>16</v>
      </c>
      <c r="E70" t="s">
        <v>81</v>
      </c>
    </row>
    <row r="71" spans="1:5" x14ac:dyDescent="0.3">
      <c r="A71" s="40">
        <v>43046.336789814814</v>
      </c>
      <c r="B71" t="s">
        <v>55</v>
      </c>
      <c r="C71">
        <v>17</v>
      </c>
      <c r="E71" t="s">
        <v>81</v>
      </c>
    </row>
    <row r="72" spans="1:5" x14ac:dyDescent="0.3">
      <c r="A72" s="40">
        <v>43061.993744675929</v>
      </c>
      <c r="B72" t="s">
        <v>58</v>
      </c>
      <c r="C72">
        <v>26</v>
      </c>
      <c r="E72" t="s">
        <v>81</v>
      </c>
    </row>
    <row r="73" spans="1:5" x14ac:dyDescent="0.3">
      <c r="A73" s="40">
        <v>43071.809890543984</v>
      </c>
      <c r="B73" t="s">
        <v>58</v>
      </c>
      <c r="C73">
        <v>18</v>
      </c>
      <c r="E73" t="s">
        <v>80</v>
      </c>
    </row>
    <row r="74" spans="1:5" x14ac:dyDescent="0.3">
      <c r="A74" s="40">
        <v>43077.474539814815</v>
      </c>
      <c r="B74" t="s">
        <v>50</v>
      </c>
      <c r="C74">
        <v>21</v>
      </c>
      <c r="E74" t="s">
        <v>80</v>
      </c>
    </row>
    <row r="75" spans="1:5" x14ac:dyDescent="0.3">
      <c r="A75" s="40">
        <v>43082.716963784726</v>
      </c>
      <c r="B75" t="s">
        <v>55</v>
      </c>
      <c r="C75">
        <v>38</v>
      </c>
      <c r="E75" t="s">
        <v>81</v>
      </c>
    </row>
    <row r="76" spans="1:5" x14ac:dyDescent="0.3">
      <c r="A76" s="40">
        <v>43106.9708000463</v>
      </c>
      <c r="B76" t="s">
        <v>59</v>
      </c>
      <c r="C76">
        <v>16</v>
      </c>
      <c r="E76" t="s">
        <v>81</v>
      </c>
    </row>
    <row r="77" spans="1:5" x14ac:dyDescent="0.3">
      <c r="A77" s="40">
        <v>43115.635675034719</v>
      </c>
      <c r="B77" t="s">
        <v>61</v>
      </c>
      <c r="C77">
        <v>13</v>
      </c>
      <c r="E77" t="s">
        <v>81</v>
      </c>
    </row>
    <row r="78" spans="1:5" x14ac:dyDescent="0.3">
      <c r="A78" s="40">
        <v>43121.901756921296</v>
      </c>
      <c r="B78" t="s">
        <v>50</v>
      </c>
      <c r="C78">
        <v>17</v>
      </c>
      <c r="E78" t="s">
        <v>79</v>
      </c>
    </row>
    <row r="79" spans="1:5" x14ac:dyDescent="0.3">
      <c r="A79" s="40">
        <v>43131.191865196757</v>
      </c>
      <c r="B79" t="s">
        <v>50</v>
      </c>
      <c r="C79">
        <v>16</v>
      </c>
      <c r="E79" t="s">
        <v>81</v>
      </c>
    </row>
    <row r="80" spans="1:5" x14ac:dyDescent="0.3">
      <c r="A80" s="40">
        <v>43140.781716967591</v>
      </c>
      <c r="B80" t="s">
        <v>55</v>
      </c>
      <c r="C80">
        <v>20</v>
      </c>
      <c r="E80" t="s">
        <v>81</v>
      </c>
    </row>
    <row r="81" spans="1:5" x14ac:dyDescent="0.3">
      <c r="A81" s="40">
        <v>43151.163110428242</v>
      </c>
      <c r="B81" t="s">
        <v>61</v>
      </c>
      <c r="C81">
        <v>37</v>
      </c>
      <c r="E81" t="s">
        <v>79</v>
      </c>
    </row>
    <row r="82" spans="1:5" x14ac:dyDescent="0.3">
      <c r="A82" s="40">
        <v>43157.73439834491</v>
      </c>
      <c r="B82" t="s">
        <v>51</v>
      </c>
      <c r="C82">
        <v>13</v>
      </c>
      <c r="E82" t="s">
        <v>80</v>
      </c>
    </row>
    <row r="83" spans="1:5" x14ac:dyDescent="0.3">
      <c r="A83" s="40">
        <v>43159.657022581021</v>
      </c>
      <c r="B83" t="s">
        <v>52</v>
      </c>
      <c r="C83">
        <v>35</v>
      </c>
      <c r="E83" t="s">
        <v>79</v>
      </c>
    </row>
    <row r="84" spans="1:5" x14ac:dyDescent="0.3">
      <c r="A84" s="40">
        <v>43170.044306377313</v>
      </c>
      <c r="B84" t="s">
        <v>54</v>
      </c>
      <c r="C84">
        <v>27</v>
      </c>
      <c r="E84" t="s">
        <v>79</v>
      </c>
    </row>
    <row r="85" spans="1:5" x14ac:dyDescent="0.3">
      <c r="A85" s="40">
        <v>43174.466686261578</v>
      </c>
      <c r="B85" t="s">
        <v>50</v>
      </c>
      <c r="C85">
        <v>31</v>
      </c>
      <c r="E85" t="s">
        <v>81</v>
      </c>
    </row>
    <row r="86" spans="1:5" x14ac:dyDescent="0.3">
      <c r="A86" s="40">
        <v>43193.230152384262</v>
      </c>
      <c r="B86" t="s">
        <v>60</v>
      </c>
      <c r="C86">
        <v>31</v>
      </c>
      <c r="E86" t="s">
        <v>79</v>
      </c>
    </row>
    <row r="87" spans="1:5" x14ac:dyDescent="0.3">
      <c r="A87" s="40">
        <v>43207.878666840275</v>
      </c>
      <c r="B87" t="s">
        <v>59</v>
      </c>
      <c r="C87">
        <v>25</v>
      </c>
      <c r="E87" t="s">
        <v>81</v>
      </c>
    </row>
    <row r="88" spans="1:5" x14ac:dyDescent="0.3">
      <c r="A88" s="40">
        <v>43216.517656886572</v>
      </c>
      <c r="B88" t="s">
        <v>58</v>
      </c>
      <c r="C88">
        <v>27</v>
      </c>
      <c r="E88" t="s">
        <v>81</v>
      </c>
    </row>
    <row r="89" spans="1:5" x14ac:dyDescent="0.3">
      <c r="A89" s="40">
        <v>43219.507715613428</v>
      </c>
      <c r="B89" t="s">
        <v>49</v>
      </c>
      <c r="C89">
        <v>26</v>
      </c>
      <c r="E89" t="s">
        <v>79</v>
      </c>
    </row>
    <row r="90" spans="1:5" x14ac:dyDescent="0.3">
      <c r="A90" s="40">
        <v>43223.218091793984</v>
      </c>
      <c r="B90" t="s">
        <v>59</v>
      </c>
      <c r="C90">
        <v>34</v>
      </c>
      <c r="E90" t="s">
        <v>81</v>
      </c>
    </row>
    <row r="91" spans="1:5" x14ac:dyDescent="0.3">
      <c r="A91" s="40">
        <v>43224.842773865741</v>
      </c>
      <c r="B91" t="s">
        <v>54</v>
      </c>
      <c r="C91">
        <v>15</v>
      </c>
      <c r="E91" t="s">
        <v>81</v>
      </c>
    </row>
    <row r="92" spans="1:5" x14ac:dyDescent="0.3">
      <c r="A92" s="40">
        <v>43227.148282916663</v>
      </c>
      <c r="B92" t="s">
        <v>59</v>
      </c>
      <c r="C92">
        <v>34</v>
      </c>
      <c r="E92" t="s">
        <v>81</v>
      </c>
    </row>
    <row r="93" spans="1:5" x14ac:dyDescent="0.3">
      <c r="A93" s="40">
        <v>43254.289023680554</v>
      </c>
      <c r="B93" t="s">
        <v>59</v>
      </c>
      <c r="C93">
        <v>19</v>
      </c>
      <c r="E93" t="s">
        <v>80</v>
      </c>
    </row>
    <row r="94" spans="1:5" x14ac:dyDescent="0.3">
      <c r="A94" s="40">
        <v>43259.141474733799</v>
      </c>
      <c r="B94" t="s">
        <v>58</v>
      </c>
      <c r="C94">
        <v>13</v>
      </c>
      <c r="E94" t="s">
        <v>81</v>
      </c>
    </row>
    <row r="95" spans="1:5" x14ac:dyDescent="0.3">
      <c r="A95" s="40">
        <v>43263.634880185185</v>
      </c>
      <c r="B95" t="s">
        <v>52</v>
      </c>
      <c r="C95">
        <v>16</v>
      </c>
      <c r="E95" t="s">
        <v>81</v>
      </c>
    </row>
    <row r="96" spans="1:5" x14ac:dyDescent="0.3">
      <c r="A96" s="40">
        <v>43270.706770856479</v>
      </c>
      <c r="B96" t="s">
        <v>56</v>
      </c>
      <c r="C96">
        <v>21</v>
      </c>
      <c r="E96" t="s">
        <v>80</v>
      </c>
    </row>
    <row r="97" spans="1:5" x14ac:dyDescent="0.3">
      <c r="A97" s="40">
        <v>43297.203777974537</v>
      </c>
      <c r="B97" t="s">
        <v>53</v>
      </c>
      <c r="C97">
        <v>24</v>
      </c>
      <c r="E97" t="s">
        <v>81</v>
      </c>
    </row>
    <row r="98" spans="1:5" x14ac:dyDescent="0.3">
      <c r="A98" s="40">
        <v>43298.813301134258</v>
      </c>
      <c r="B98" t="s">
        <v>58</v>
      </c>
      <c r="C98">
        <v>15</v>
      </c>
      <c r="E98" t="s">
        <v>80</v>
      </c>
    </row>
    <row r="99" spans="1:5" x14ac:dyDescent="0.3">
      <c r="A99" s="40">
        <v>43303.261885717591</v>
      </c>
      <c r="B99" t="s">
        <v>55</v>
      </c>
      <c r="C99">
        <v>39</v>
      </c>
      <c r="E99" t="s">
        <v>79</v>
      </c>
    </row>
    <row r="100" spans="1:5" x14ac:dyDescent="0.3">
      <c r="A100" s="40">
        <v>43331.407854745368</v>
      </c>
      <c r="B100" t="s">
        <v>58</v>
      </c>
      <c r="C100">
        <v>31</v>
      </c>
      <c r="E100" t="s">
        <v>81</v>
      </c>
    </row>
    <row r="101" spans="1:5" x14ac:dyDescent="0.3">
      <c r="A101" s="40">
        <v>43358.807472442131</v>
      </c>
      <c r="B101" t="s">
        <v>59</v>
      </c>
      <c r="C101">
        <v>15</v>
      </c>
      <c r="E101" t="s">
        <v>80</v>
      </c>
    </row>
    <row r="102" spans="1:5" x14ac:dyDescent="0.3">
      <c r="A102" s="40">
        <v>43367.683421828704</v>
      </c>
      <c r="B102" t="s">
        <v>58</v>
      </c>
      <c r="C102">
        <v>21</v>
      </c>
      <c r="E102" t="s">
        <v>80</v>
      </c>
    </row>
    <row r="103" spans="1:5" x14ac:dyDescent="0.3">
      <c r="A103" s="40">
        <v>43373.782568090275</v>
      </c>
      <c r="B103" t="s">
        <v>52</v>
      </c>
      <c r="C103">
        <v>33</v>
      </c>
      <c r="E103" t="s">
        <v>80</v>
      </c>
    </row>
    <row r="104" spans="1:5" x14ac:dyDescent="0.3">
      <c r="A104" s="40">
        <v>43376.052644467592</v>
      </c>
      <c r="B104" t="s">
        <v>52</v>
      </c>
      <c r="C104">
        <v>21</v>
      </c>
      <c r="E104" t="s">
        <v>80</v>
      </c>
    </row>
    <row r="105" spans="1:5" x14ac:dyDescent="0.3">
      <c r="A105" s="40">
        <v>43381.150036666666</v>
      </c>
      <c r="B105" t="s">
        <v>50</v>
      </c>
      <c r="C105">
        <v>27</v>
      </c>
      <c r="E105" t="s">
        <v>81</v>
      </c>
    </row>
    <row r="106" spans="1:5" x14ac:dyDescent="0.3">
      <c r="A106" s="40">
        <v>43384.726934791666</v>
      </c>
      <c r="B106" t="s">
        <v>52</v>
      </c>
      <c r="C106">
        <v>11</v>
      </c>
      <c r="E106" t="s">
        <v>80</v>
      </c>
    </row>
    <row r="107" spans="1:5" x14ac:dyDescent="0.3">
      <c r="A107" s="40">
        <v>43387.066798078704</v>
      </c>
      <c r="B107" t="s">
        <v>56</v>
      </c>
      <c r="C107">
        <v>36</v>
      </c>
      <c r="E107" t="s">
        <v>79</v>
      </c>
    </row>
    <row r="108" spans="1:5" x14ac:dyDescent="0.3">
      <c r="A108" s="40">
        <v>43402.55784642361</v>
      </c>
      <c r="B108" t="s">
        <v>49</v>
      </c>
      <c r="C108">
        <v>21</v>
      </c>
      <c r="E108" t="s">
        <v>81</v>
      </c>
    </row>
    <row r="109" spans="1:5" x14ac:dyDescent="0.3">
      <c r="A109" s="40">
        <v>43414.147909363426</v>
      </c>
      <c r="B109" t="s">
        <v>52</v>
      </c>
      <c r="C109">
        <v>10</v>
      </c>
      <c r="E109" t="s">
        <v>79</v>
      </c>
    </row>
    <row r="110" spans="1:5" x14ac:dyDescent="0.3">
      <c r="A110" s="40">
        <v>43416.349008229168</v>
      </c>
      <c r="B110" t="s">
        <v>60</v>
      </c>
      <c r="C110">
        <v>23</v>
      </c>
      <c r="E110" t="s">
        <v>80</v>
      </c>
    </row>
    <row r="111" spans="1:5" x14ac:dyDescent="0.3">
      <c r="A111" s="40">
        <v>43420.645382372684</v>
      </c>
      <c r="B111" t="s">
        <v>52</v>
      </c>
      <c r="C111">
        <v>19</v>
      </c>
      <c r="E111" t="s">
        <v>81</v>
      </c>
    </row>
    <row r="112" spans="1:5" x14ac:dyDescent="0.3">
      <c r="A112" s="40">
        <v>43429.97733976852</v>
      </c>
      <c r="B112" t="s">
        <v>50</v>
      </c>
      <c r="C112">
        <v>23</v>
      </c>
      <c r="E112" t="s">
        <v>80</v>
      </c>
    </row>
    <row r="113" spans="1:5" x14ac:dyDescent="0.3">
      <c r="A113" s="40">
        <v>43434.994548576389</v>
      </c>
      <c r="B113" t="s">
        <v>59</v>
      </c>
      <c r="C113">
        <v>24</v>
      </c>
      <c r="E113" t="s">
        <v>80</v>
      </c>
    </row>
    <row r="114" spans="1:5" x14ac:dyDescent="0.3">
      <c r="A114" s="40">
        <v>43443.009909247688</v>
      </c>
      <c r="B114" t="s">
        <v>49</v>
      </c>
      <c r="C114">
        <v>17</v>
      </c>
      <c r="E114" t="s">
        <v>79</v>
      </c>
    </row>
    <row r="115" spans="1:5" x14ac:dyDescent="0.3">
      <c r="A115" s="40">
        <v>43450.36735537037</v>
      </c>
      <c r="B115" t="s">
        <v>56</v>
      </c>
      <c r="C115">
        <v>39</v>
      </c>
      <c r="E115" t="s">
        <v>80</v>
      </c>
    </row>
    <row r="116" spans="1:5" x14ac:dyDescent="0.3">
      <c r="A116" s="40">
        <v>43464.458606597225</v>
      </c>
      <c r="B116" t="s">
        <v>51</v>
      </c>
      <c r="C116">
        <v>15</v>
      </c>
      <c r="E116" t="s">
        <v>80</v>
      </c>
    </row>
    <row r="117" spans="1:5" x14ac:dyDescent="0.3">
      <c r="A117" s="40">
        <v>43467.502372569441</v>
      </c>
      <c r="B117" t="s">
        <v>58</v>
      </c>
      <c r="C117">
        <v>35</v>
      </c>
      <c r="E117" t="s">
        <v>80</v>
      </c>
    </row>
    <row r="118" spans="1:5" x14ac:dyDescent="0.3">
      <c r="A118" s="40">
        <v>43470.753413472223</v>
      </c>
      <c r="B118" t="s">
        <v>58</v>
      </c>
      <c r="C118">
        <v>10</v>
      </c>
      <c r="E118" t="s">
        <v>81</v>
      </c>
    </row>
    <row r="119" spans="1:5" x14ac:dyDescent="0.3">
      <c r="A119" s="40">
        <v>43480.000224178242</v>
      </c>
      <c r="B119" t="s">
        <v>53</v>
      </c>
      <c r="C119">
        <v>38</v>
      </c>
      <c r="E119" t="s">
        <v>79</v>
      </c>
    </row>
    <row r="120" spans="1:5" x14ac:dyDescent="0.3">
      <c r="A120" s="40">
        <v>43489.495171006944</v>
      </c>
      <c r="B120" t="s">
        <v>52</v>
      </c>
      <c r="C120">
        <v>28</v>
      </c>
      <c r="E120" t="s">
        <v>79</v>
      </c>
    </row>
    <row r="121" spans="1:5" x14ac:dyDescent="0.3">
      <c r="A121" s="40">
        <v>43521.431152430552</v>
      </c>
      <c r="B121" t="s">
        <v>56</v>
      </c>
      <c r="C121">
        <v>22</v>
      </c>
      <c r="E121" t="s">
        <v>80</v>
      </c>
    </row>
    <row r="122" spans="1:5" x14ac:dyDescent="0.3">
      <c r="A122" s="40">
        <v>43548.000910532406</v>
      </c>
      <c r="B122" t="s">
        <v>52</v>
      </c>
      <c r="C122">
        <v>12</v>
      </c>
      <c r="E122" t="s">
        <v>81</v>
      </c>
    </row>
    <row r="123" spans="1:5" x14ac:dyDescent="0.3">
      <c r="A123" s="40">
        <v>43562.59096577546</v>
      </c>
      <c r="B123" t="s">
        <v>51</v>
      </c>
      <c r="C123">
        <v>18</v>
      </c>
      <c r="E123" t="s">
        <v>80</v>
      </c>
    </row>
    <row r="124" spans="1:5" x14ac:dyDescent="0.3">
      <c r="A124" s="40">
        <v>43569.846040486111</v>
      </c>
      <c r="B124" t="s">
        <v>58</v>
      </c>
      <c r="C124">
        <v>39</v>
      </c>
      <c r="E124" t="s">
        <v>79</v>
      </c>
    </row>
    <row r="125" spans="1:5" x14ac:dyDescent="0.3">
      <c r="A125" s="40">
        <v>43588.077788425922</v>
      </c>
      <c r="B125" t="s">
        <v>54</v>
      </c>
      <c r="C125">
        <v>35</v>
      </c>
      <c r="E125" t="s">
        <v>80</v>
      </c>
    </row>
    <row r="126" spans="1:5" x14ac:dyDescent="0.3">
      <c r="A126" s="40">
        <v>43599.289826736109</v>
      </c>
      <c r="B126" t="s">
        <v>54</v>
      </c>
      <c r="C126">
        <v>23</v>
      </c>
      <c r="E126" t="s">
        <v>79</v>
      </c>
    </row>
    <row r="127" spans="1:5" x14ac:dyDescent="0.3">
      <c r="A127" s="40">
        <v>43614.581404976852</v>
      </c>
      <c r="B127" t="s">
        <v>54</v>
      </c>
      <c r="C127">
        <v>18</v>
      </c>
      <c r="E127" t="s">
        <v>81</v>
      </c>
    </row>
    <row r="128" spans="1:5" x14ac:dyDescent="0.3">
      <c r="A128" s="40">
        <v>43621.137187025466</v>
      </c>
      <c r="B128" t="s">
        <v>53</v>
      </c>
      <c r="C128">
        <v>23</v>
      </c>
      <c r="E128" t="s">
        <v>80</v>
      </c>
    </row>
    <row r="129" spans="1:5" x14ac:dyDescent="0.3">
      <c r="A129" s="40">
        <v>43632.490813414355</v>
      </c>
      <c r="B129" t="s">
        <v>51</v>
      </c>
      <c r="C129">
        <v>37</v>
      </c>
      <c r="E129" t="s">
        <v>80</v>
      </c>
    </row>
    <row r="130" spans="1:5" x14ac:dyDescent="0.3">
      <c r="A130" s="40">
        <v>43652.495244722224</v>
      </c>
      <c r="B130" t="s">
        <v>53</v>
      </c>
      <c r="C130">
        <v>38</v>
      </c>
      <c r="E130" t="s">
        <v>79</v>
      </c>
    </row>
    <row r="131" spans="1:5" x14ac:dyDescent="0.3">
      <c r="A131" s="40">
        <v>43655.592120231478</v>
      </c>
      <c r="B131" t="s">
        <v>58</v>
      </c>
      <c r="C131">
        <v>35</v>
      </c>
      <c r="E131" t="s">
        <v>80</v>
      </c>
    </row>
    <row r="132" spans="1:5" x14ac:dyDescent="0.3">
      <c r="A132" s="40">
        <v>43667.327639039351</v>
      </c>
      <c r="B132" t="s">
        <v>52</v>
      </c>
      <c r="C132">
        <v>25</v>
      </c>
      <c r="E132" t="s">
        <v>80</v>
      </c>
    </row>
    <row r="133" spans="1:5" x14ac:dyDescent="0.3">
      <c r="A133" s="40">
        <v>43668.116078078703</v>
      </c>
      <c r="B133" t="s">
        <v>59</v>
      </c>
      <c r="C133">
        <v>23</v>
      </c>
      <c r="E133" t="s">
        <v>81</v>
      </c>
    </row>
    <row r="134" spans="1:5" x14ac:dyDescent="0.3">
      <c r="A134" s="40">
        <v>43693.095787361111</v>
      </c>
      <c r="B134" t="s">
        <v>52</v>
      </c>
      <c r="C134">
        <v>20</v>
      </c>
      <c r="E134" t="s">
        <v>80</v>
      </c>
    </row>
    <row r="135" spans="1:5" x14ac:dyDescent="0.3">
      <c r="A135" s="40">
        <v>43700.692687314811</v>
      </c>
      <c r="B135" t="s">
        <v>52</v>
      </c>
      <c r="C135">
        <v>23</v>
      </c>
      <c r="E135" t="s">
        <v>79</v>
      </c>
    </row>
    <row r="136" spans="1:5" x14ac:dyDescent="0.3">
      <c r="A136" s="40">
        <v>43708.533050995371</v>
      </c>
      <c r="B136" t="s">
        <v>59</v>
      </c>
      <c r="C136">
        <v>19</v>
      </c>
      <c r="E136" t="s">
        <v>81</v>
      </c>
    </row>
    <row r="137" spans="1:5" x14ac:dyDescent="0.3">
      <c r="A137" s="40">
        <v>43708.605315208333</v>
      </c>
      <c r="B137" t="s">
        <v>52</v>
      </c>
      <c r="C137">
        <v>18</v>
      </c>
      <c r="E137" t="s">
        <v>81</v>
      </c>
    </row>
    <row r="138" spans="1:5" x14ac:dyDescent="0.3">
      <c r="A138" s="40">
        <v>43711.65672201389</v>
      </c>
      <c r="B138" t="s">
        <v>52</v>
      </c>
      <c r="C138">
        <v>24</v>
      </c>
      <c r="E138" t="s">
        <v>80</v>
      </c>
    </row>
    <row r="139" spans="1:5" x14ac:dyDescent="0.3">
      <c r="A139" s="40">
        <v>43714.919220891206</v>
      </c>
      <c r="B139" t="s">
        <v>56</v>
      </c>
      <c r="C139">
        <v>29</v>
      </c>
      <c r="E139" t="s">
        <v>79</v>
      </c>
    </row>
    <row r="140" spans="1:5" x14ac:dyDescent="0.3">
      <c r="A140" s="40">
        <v>43719.327395902779</v>
      </c>
      <c r="B140" t="s">
        <v>52</v>
      </c>
      <c r="C140">
        <v>34</v>
      </c>
      <c r="E140" t="s">
        <v>81</v>
      </c>
    </row>
    <row r="141" spans="1:5" x14ac:dyDescent="0.3">
      <c r="A141" s="40">
        <v>43723.681814583331</v>
      </c>
      <c r="B141" t="s">
        <v>58</v>
      </c>
      <c r="C141">
        <v>22</v>
      </c>
      <c r="E141" t="s">
        <v>80</v>
      </c>
    </row>
    <row r="142" spans="1:5" x14ac:dyDescent="0.3">
      <c r="A142" s="40">
        <v>43726.426141701391</v>
      </c>
      <c r="B142" t="s">
        <v>51</v>
      </c>
      <c r="C142">
        <v>16</v>
      </c>
      <c r="E142" t="s">
        <v>79</v>
      </c>
    </row>
    <row r="143" spans="1:5" x14ac:dyDescent="0.3">
      <c r="A143" s="40">
        <v>43737.59406787037</v>
      </c>
      <c r="B143" t="s">
        <v>54</v>
      </c>
      <c r="C143">
        <v>16</v>
      </c>
      <c r="E143" t="s">
        <v>81</v>
      </c>
    </row>
    <row r="144" spans="1:5" x14ac:dyDescent="0.3">
      <c r="A144" s="40">
        <v>43744.720022673609</v>
      </c>
      <c r="B144" t="s">
        <v>52</v>
      </c>
      <c r="C144">
        <v>39</v>
      </c>
      <c r="E144" t="s">
        <v>80</v>
      </c>
    </row>
    <row r="145" spans="1:5" x14ac:dyDescent="0.3">
      <c r="A145" s="40">
        <v>43757.850874895834</v>
      </c>
      <c r="B145" t="s">
        <v>58</v>
      </c>
      <c r="C145">
        <v>16</v>
      </c>
      <c r="E145" t="s">
        <v>81</v>
      </c>
    </row>
    <row r="146" spans="1:5" x14ac:dyDescent="0.3">
      <c r="A146" s="40">
        <v>43760.519132905094</v>
      </c>
      <c r="B146" t="s">
        <v>52</v>
      </c>
      <c r="C146">
        <v>12</v>
      </c>
      <c r="E146" t="s">
        <v>81</v>
      </c>
    </row>
    <row r="147" spans="1:5" x14ac:dyDescent="0.3">
      <c r="A147" s="40">
        <v>43764.56261734954</v>
      </c>
      <c r="B147" t="s">
        <v>49</v>
      </c>
      <c r="C147">
        <v>16</v>
      </c>
      <c r="E147" t="s">
        <v>81</v>
      </c>
    </row>
    <row r="148" spans="1:5" x14ac:dyDescent="0.3">
      <c r="A148" s="40">
        <v>43768.420984259261</v>
      </c>
      <c r="B148" t="s">
        <v>59</v>
      </c>
      <c r="C148">
        <v>14</v>
      </c>
      <c r="E148" t="s">
        <v>81</v>
      </c>
    </row>
    <row r="149" spans="1:5" x14ac:dyDescent="0.3">
      <c r="A149" s="40">
        <v>43772.203643055553</v>
      </c>
      <c r="B149" t="s">
        <v>58</v>
      </c>
      <c r="C149">
        <v>40</v>
      </c>
      <c r="E149" t="s">
        <v>79</v>
      </c>
    </row>
    <row r="150" spans="1:5" x14ac:dyDescent="0.3">
      <c r="A150" s="40">
        <v>43784.344504293978</v>
      </c>
      <c r="B150" t="s">
        <v>51</v>
      </c>
      <c r="C150">
        <v>27</v>
      </c>
      <c r="E150" t="s">
        <v>79</v>
      </c>
    </row>
    <row r="151" spans="1:5" x14ac:dyDescent="0.3">
      <c r="A151" s="40">
        <v>43792.781134791665</v>
      </c>
      <c r="B151" t="s">
        <v>58</v>
      </c>
      <c r="C151">
        <v>16</v>
      </c>
      <c r="E151" t="s">
        <v>81</v>
      </c>
    </row>
    <row r="152" spans="1:5" x14ac:dyDescent="0.3">
      <c r="A152" s="40">
        <v>43796.915766122685</v>
      </c>
      <c r="B152" t="s">
        <v>51</v>
      </c>
      <c r="C152">
        <v>10</v>
      </c>
      <c r="E152" t="s">
        <v>80</v>
      </c>
    </row>
    <row r="153" spans="1:5" x14ac:dyDescent="0.3">
      <c r="A153" s="40">
        <v>43864.884237754632</v>
      </c>
      <c r="B153" t="s">
        <v>58</v>
      </c>
      <c r="C153">
        <v>15</v>
      </c>
      <c r="E153" t="s">
        <v>79</v>
      </c>
    </row>
    <row r="154" spans="1:5" x14ac:dyDescent="0.3">
      <c r="A154" s="40">
        <v>43899.694888969905</v>
      </c>
      <c r="B154" t="s">
        <v>60</v>
      </c>
      <c r="C154">
        <v>35</v>
      </c>
      <c r="E154" t="s">
        <v>80</v>
      </c>
    </row>
    <row r="155" spans="1:5" x14ac:dyDescent="0.3">
      <c r="A155" s="40">
        <v>43902.918889247689</v>
      </c>
      <c r="B155" t="s">
        <v>49</v>
      </c>
      <c r="C155">
        <v>18</v>
      </c>
      <c r="E155" t="s">
        <v>80</v>
      </c>
    </row>
    <row r="156" spans="1:5" x14ac:dyDescent="0.3">
      <c r="A156" s="40">
        <v>43915.454071712964</v>
      </c>
      <c r="B156" t="s">
        <v>50</v>
      </c>
      <c r="C156">
        <v>21</v>
      </c>
      <c r="E156" t="s">
        <v>80</v>
      </c>
    </row>
    <row r="157" spans="1:5" x14ac:dyDescent="0.3">
      <c r="A157" s="40">
        <v>43920.27524880787</v>
      </c>
      <c r="B157" t="s">
        <v>49</v>
      </c>
      <c r="C157">
        <v>32</v>
      </c>
      <c r="E157" t="s">
        <v>79</v>
      </c>
    </row>
    <row r="158" spans="1:5" x14ac:dyDescent="0.3">
      <c r="A158" s="40">
        <v>43936.125624004628</v>
      </c>
      <c r="B158" t="s">
        <v>54</v>
      </c>
      <c r="C158">
        <v>35</v>
      </c>
      <c r="E158" t="s">
        <v>81</v>
      </c>
    </row>
    <row r="159" spans="1:5" x14ac:dyDescent="0.3">
      <c r="A159" s="40">
        <v>43939.401862256942</v>
      </c>
      <c r="B159" t="s">
        <v>51</v>
      </c>
      <c r="C159">
        <v>14</v>
      </c>
      <c r="E159" t="s">
        <v>80</v>
      </c>
    </row>
    <row r="160" spans="1:5" x14ac:dyDescent="0.3">
      <c r="A160" s="40">
        <v>43956.49199988426</v>
      </c>
      <c r="B160" t="s">
        <v>50</v>
      </c>
      <c r="C160">
        <v>27</v>
      </c>
      <c r="E160" t="s">
        <v>80</v>
      </c>
    </row>
    <row r="161" spans="1:5" x14ac:dyDescent="0.3">
      <c r="A161" s="40">
        <v>43966.497899942129</v>
      </c>
      <c r="B161" t="s">
        <v>61</v>
      </c>
      <c r="C161">
        <v>35</v>
      </c>
      <c r="E161" t="s">
        <v>80</v>
      </c>
    </row>
    <row r="162" spans="1:5" x14ac:dyDescent="0.3">
      <c r="A162" s="40">
        <v>43969.982601747688</v>
      </c>
      <c r="B162" t="s">
        <v>54</v>
      </c>
      <c r="C162">
        <v>13</v>
      </c>
      <c r="E162" t="s">
        <v>79</v>
      </c>
    </row>
    <row r="163" spans="1:5" x14ac:dyDescent="0.3">
      <c r="A163" s="40">
        <v>43986.428039826387</v>
      </c>
      <c r="B163" t="s">
        <v>52</v>
      </c>
      <c r="C163">
        <v>22</v>
      </c>
      <c r="E163" t="s">
        <v>81</v>
      </c>
    </row>
    <row r="164" spans="1:5" x14ac:dyDescent="0.3">
      <c r="A164" s="40">
        <v>43989.355363472219</v>
      </c>
      <c r="B164" t="s">
        <v>56</v>
      </c>
      <c r="C164">
        <v>27</v>
      </c>
      <c r="E164" t="s">
        <v>80</v>
      </c>
    </row>
    <row r="165" spans="1:5" x14ac:dyDescent="0.3">
      <c r="A165" s="40">
        <v>43990.458386956016</v>
      </c>
      <c r="B165" t="s">
        <v>49</v>
      </c>
      <c r="C165">
        <v>27</v>
      </c>
      <c r="E165" t="s">
        <v>80</v>
      </c>
    </row>
    <row r="166" spans="1:5" x14ac:dyDescent="0.3">
      <c r="A166" s="40">
        <v>43991.832731712966</v>
      </c>
      <c r="B166" t="s">
        <v>51</v>
      </c>
      <c r="C166">
        <v>16</v>
      </c>
      <c r="E166" t="s">
        <v>80</v>
      </c>
    </row>
    <row r="167" spans="1:5" x14ac:dyDescent="0.3">
      <c r="A167" s="40">
        <v>44001.448129212964</v>
      </c>
      <c r="B167" t="s">
        <v>56</v>
      </c>
      <c r="C167">
        <v>24</v>
      </c>
      <c r="E167" t="s">
        <v>79</v>
      </c>
    </row>
    <row r="168" spans="1:5" x14ac:dyDescent="0.3">
      <c r="A168" s="40">
        <v>44004.22135010417</v>
      </c>
      <c r="B168" t="s">
        <v>52</v>
      </c>
      <c r="C168">
        <v>28</v>
      </c>
      <c r="E168" t="s">
        <v>81</v>
      </c>
    </row>
    <row r="169" spans="1:5" x14ac:dyDescent="0.3">
      <c r="A169" s="40">
        <v>44008.812411678242</v>
      </c>
      <c r="B169" t="s">
        <v>54</v>
      </c>
      <c r="C169">
        <v>39</v>
      </c>
      <c r="E169" t="s">
        <v>80</v>
      </c>
    </row>
    <row r="170" spans="1:5" x14ac:dyDescent="0.3">
      <c r="A170" s="40">
        <v>44015.419430648151</v>
      </c>
      <c r="B170" t="s">
        <v>60</v>
      </c>
      <c r="C170">
        <v>31</v>
      </c>
      <c r="E170" t="s">
        <v>80</v>
      </c>
    </row>
    <row r="171" spans="1:5" x14ac:dyDescent="0.3">
      <c r="A171" s="40">
        <v>44030.289271516202</v>
      </c>
      <c r="B171" t="s">
        <v>58</v>
      </c>
      <c r="C171">
        <v>10</v>
      </c>
      <c r="E171" t="s">
        <v>80</v>
      </c>
    </row>
    <row r="172" spans="1:5" x14ac:dyDescent="0.3">
      <c r="A172" s="40">
        <v>44041.621101168981</v>
      </c>
      <c r="B172" t="s">
        <v>51</v>
      </c>
      <c r="C172">
        <v>15</v>
      </c>
      <c r="E172" t="s">
        <v>79</v>
      </c>
    </row>
    <row r="173" spans="1:5" x14ac:dyDescent="0.3">
      <c r="A173" s="40">
        <v>44045.92231465278</v>
      </c>
      <c r="B173" t="s">
        <v>59</v>
      </c>
      <c r="C173">
        <v>25</v>
      </c>
      <c r="E173" t="s">
        <v>81</v>
      </c>
    </row>
    <row r="174" spans="1:5" x14ac:dyDescent="0.3">
      <c r="A174" s="40">
        <v>44052.687829699076</v>
      </c>
      <c r="B174" t="s">
        <v>49</v>
      </c>
      <c r="C174">
        <v>39</v>
      </c>
      <c r="E174" t="s">
        <v>80</v>
      </c>
    </row>
    <row r="175" spans="1:5" x14ac:dyDescent="0.3">
      <c r="A175" s="40">
        <v>44066.050896597226</v>
      </c>
      <c r="B175" t="s">
        <v>54</v>
      </c>
      <c r="C175">
        <v>35</v>
      </c>
      <c r="E175" t="s">
        <v>81</v>
      </c>
    </row>
    <row r="176" spans="1:5" x14ac:dyDescent="0.3">
      <c r="A176" s="40">
        <v>44069.69589678241</v>
      </c>
      <c r="B176" t="s">
        <v>56</v>
      </c>
      <c r="C176">
        <v>20</v>
      </c>
      <c r="E176" t="s">
        <v>80</v>
      </c>
    </row>
    <row r="177" spans="1:5" x14ac:dyDescent="0.3">
      <c r="A177" s="40">
        <v>44081.622037407411</v>
      </c>
      <c r="B177" t="s">
        <v>52</v>
      </c>
      <c r="C177">
        <v>32</v>
      </c>
      <c r="E177" t="s">
        <v>81</v>
      </c>
    </row>
    <row r="178" spans="1:5" x14ac:dyDescent="0.3">
      <c r="A178" s="40">
        <v>44102.651064687503</v>
      </c>
      <c r="B178" t="s">
        <v>53</v>
      </c>
      <c r="C178">
        <v>36</v>
      </c>
      <c r="E178" t="s">
        <v>81</v>
      </c>
    </row>
    <row r="179" spans="1:5" x14ac:dyDescent="0.3">
      <c r="A179" s="40">
        <v>44107.136659837961</v>
      </c>
      <c r="B179" t="s">
        <v>55</v>
      </c>
      <c r="C179">
        <v>37</v>
      </c>
      <c r="E179" t="s">
        <v>81</v>
      </c>
    </row>
    <row r="180" spans="1:5" x14ac:dyDescent="0.3">
      <c r="A180" s="40">
        <v>44110.031691747688</v>
      </c>
      <c r="B180" t="s">
        <v>56</v>
      </c>
      <c r="C180">
        <v>32</v>
      </c>
      <c r="E180" t="s">
        <v>81</v>
      </c>
    </row>
    <row r="181" spans="1:5" x14ac:dyDescent="0.3">
      <c r="A181" s="40">
        <v>44112.563576388886</v>
      </c>
      <c r="B181" t="s">
        <v>54</v>
      </c>
      <c r="C181">
        <v>17</v>
      </c>
      <c r="E181" t="s">
        <v>81</v>
      </c>
    </row>
    <row r="182" spans="1:5" x14ac:dyDescent="0.3">
      <c r="A182" s="40">
        <v>44113.335890335649</v>
      </c>
      <c r="B182" t="s">
        <v>56</v>
      </c>
      <c r="C182">
        <v>25</v>
      </c>
      <c r="E182" t="s">
        <v>81</v>
      </c>
    </row>
    <row r="183" spans="1:5" x14ac:dyDescent="0.3">
      <c r="A183" s="40">
        <v>44117.34589892361</v>
      </c>
      <c r="B183" t="s">
        <v>50</v>
      </c>
      <c r="C183">
        <v>24</v>
      </c>
      <c r="E183" t="s">
        <v>81</v>
      </c>
    </row>
    <row r="184" spans="1:5" x14ac:dyDescent="0.3">
      <c r="A184" s="40">
        <v>44126.563184953702</v>
      </c>
      <c r="B184" t="s">
        <v>55</v>
      </c>
      <c r="C184">
        <v>15</v>
      </c>
      <c r="E184" t="s">
        <v>81</v>
      </c>
    </row>
    <row r="185" spans="1:5" x14ac:dyDescent="0.3">
      <c r="A185" s="40">
        <v>44137.662696608793</v>
      </c>
      <c r="B185" t="s">
        <v>61</v>
      </c>
      <c r="C185">
        <v>25</v>
      </c>
      <c r="E185" t="s">
        <v>81</v>
      </c>
    </row>
    <row r="186" spans="1:5" x14ac:dyDescent="0.3">
      <c r="A186" s="40">
        <v>44148.313808310188</v>
      </c>
      <c r="B186" t="s">
        <v>56</v>
      </c>
      <c r="C186">
        <v>11</v>
      </c>
      <c r="E186" t="s">
        <v>81</v>
      </c>
    </row>
    <row r="187" spans="1:5" x14ac:dyDescent="0.3">
      <c r="A187" s="40">
        <v>44180.928446041667</v>
      </c>
      <c r="B187" t="s">
        <v>56</v>
      </c>
      <c r="C187">
        <v>37</v>
      </c>
      <c r="E187" t="s">
        <v>80</v>
      </c>
    </row>
    <row r="188" spans="1:5" x14ac:dyDescent="0.3">
      <c r="A188" s="40">
        <v>44194.498688912034</v>
      </c>
      <c r="B188" t="s">
        <v>59</v>
      </c>
      <c r="C188">
        <v>12</v>
      </c>
      <c r="E188" t="s">
        <v>79</v>
      </c>
    </row>
    <row r="189" spans="1:5" x14ac:dyDescent="0.3">
      <c r="A189" s="40">
        <v>44217.541468668984</v>
      </c>
      <c r="B189" t="s">
        <v>51</v>
      </c>
      <c r="C189">
        <v>28</v>
      </c>
      <c r="E189" t="s">
        <v>80</v>
      </c>
    </row>
    <row r="190" spans="1:5" x14ac:dyDescent="0.3">
      <c r="A190" s="40">
        <v>44229.541586064814</v>
      </c>
      <c r="B190" t="s">
        <v>49</v>
      </c>
      <c r="C190">
        <v>16</v>
      </c>
      <c r="E190" t="s">
        <v>79</v>
      </c>
    </row>
    <row r="191" spans="1:5" x14ac:dyDescent="0.3">
      <c r="A191" s="40">
        <v>44232.450841655096</v>
      </c>
      <c r="B191" t="s">
        <v>58</v>
      </c>
      <c r="C191">
        <v>15</v>
      </c>
      <c r="E191" t="s">
        <v>80</v>
      </c>
    </row>
    <row r="192" spans="1:5" x14ac:dyDescent="0.3">
      <c r="A192" s="40">
        <v>44237.686062280096</v>
      </c>
      <c r="B192" t="s">
        <v>59</v>
      </c>
      <c r="C192">
        <v>38</v>
      </c>
      <c r="E192" t="s">
        <v>79</v>
      </c>
    </row>
    <row r="193" spans="1:5" x14ac:dyDescent="0.3">
      <c r="A193" s="40">
        <v>44252.026962557873</v>
      </c>
      <c r="B193" t="s">
        <v>53</v>
      </c>
      <c r="C193">
        <v>18</v>
      </c>
      <c r="E193" t="s">
        <v>80</v>
      </c>
    </row>
    <row r="194" spans="1:5" x14ac:dyDescent="0.3">
      <c r="A194" s="40">
        <v>44260.335488888886</v>
      </c>
      <c r="B194" t="s">
        <v>55</v>
      </c>
      <c r="C194">
        <v>14</v>
      </c>
      <c r="E194" t="s">
        <v>79</v>
      </c>
    </row>
    <row r="195" spans="1:5" x14ac:dyDescent="0.3">
      <c r="A195" s="40">
        <v>44264.711459907405</v>
      </c>
      <c r="B195" t="s">
        <v>49</v>
      </c>
      <c r="C195">
        <v>11</v>
      </c>
      <c r="E195" t="s">
        <v>80</v>
      </c>
    </row>
    <row r="196" spans="1:5" x14ac:dyDescent="0.3">
      <c r="A196" s="40">
        <v>44265.536294930556</v>
      </c>
      <c r="B196" t="s">
        <v>57</v>
      </c>
      <c r="C196">
        <v>14</v>
      </c>
      <c r="E196" t="s">
        <v>79</v>
      </c>
    </row>
    <row r="197" spans="1:5" x14ac:dyDescent="0.3">
      <c r="A197" s="40">
        <v>44271.688110162038</v>
      </c>
      <c r="B197" t="s">
        <v>60</v>
      </c>
      <c r="C197">
        <v>23</v>
      </c>
      <c r="E197" t="s">
        <v>80</v>
      </c>
    </row>
    <row r="198" spans="1:5" x14ac:dyDescent="0.3">
      <c r="A198" s="40">
        <v>44274.19540099537</v>
      </c>
      <c r="B198" t="s">
        <v>54</v>
      </c>
      <c r="C198">
        <v>12</v>
      </c>
      <c r="E198" t="s">
        <v>81</v>
      </c>
    </row>
    <row r="199" spans="1:5" x14ac:dyDescent="0.3">
      <c r="A199" s="40">
        <v>44275.302086516203</v>
      </c>
      <c r="B199" t="s">
        <v>52</v>
      </c>
      <c r="C199">
        <v>24</v>
      </c>
      <c r="E199" t="s">
        <v>80</v>
      </c>
    </row>
    <row r="200" spans="1:5" x14ac:dyDescent="0.3">
      <c r="A200" s="40">
        <v>44283.144410104163</v>
      </c>
      <c r="B200" t="s">
        <v>49</v>
      </c>
      <c r="C200">
        <v>36</v>
      </c>
      <c r="E200" t="s">
        <v>81</v>
      </c>
    </row>
    <row r="201" spans="1:5" x14ac:dyDescent="0.3">
      <c r="A201" s="40">
        <v>44286.319593379631</v>
      </c>
      <c r="B201" t="s">
        <v>56</v>
      </c>
      <c r="C201">
        <v>23</v>
      </c>
      <c r="E201" t="s">
        <v>80</v>
      </c>
    </row>
    <row r="202" spans="1:5" x14ac:dyDescent="0.3">
      <c r="A202" s="40">
        <v>44292.704583541665</v>
      </c>
      <c r="B202" t="s">
        <v>50</v>
      </c>
      <c r="C202">
        <v>36</v>
      </c>
      <c r="E202" t="s">
        <v>81</v>
      </c>
    </row>
    <row r="203" spans="1:5" x14ac:dyDescent="0.3">
      <c r="A203" s="40">
        <v>44323.077586238425</v>
      </c>
      <c r="B203" t="s">
        <v>51</v>
      </c>
      <c r="C203">
        <v>24</v>
      </c>
      <c r="E203" t="s">
        <v>80</v>
      </c>
    </row>
    <row r="204" spans="1:5" x14ac:dyDescent="0.3">
      <c r="A204" s="40">
        <v>44330.444388958334</v>
      </c>
      <c r="B204" t="s">
        <v>61</v>
      </c>
      <c r="C204">
        <v>32</v>
      </c>
      <c r="E204" t="s">
        <v>81</v>
      </c>
    </row>
    <row r="205" spans="1:5" x14ac:dyDescent="0.3">
      <c r="A205" s="40">
        <v>44347.159998587966</v>
      </c>
      <c r="B205" t="s">
        <v>58</v>
      </c>
      <c r="C205">
        <v>30</v>
      </c>
      <c r="E205" t="s">
        <v>80</v>
      </c>
    </row>
    <row r="206" spans="1:5" x14ac:dyDescent="0.3">
      <c r="A206" s="40">
        <v>44354.996936469906</v>
      </c>
      <c r="B206" t="s">
        <v>52</v>
      </c>
      <c r="C206">
        <v>40</v>
      </c>
      <c r="E206" t="s">
        <v>81</v>
      </c>
    </row>
    <row r="207" spans="1:5" x14ac:dyDescent="0.3">
      <c r="A207" s="40">
        <v>44360.773911620374</v>
      </c>
      <c r="B207" t="s">
        <v>60</v>
      </c>
      <c r="C207">
        <v>21</v>
      </c>
      <c r="E207" t="s">
        <v>80</v>
      </c>
    </row>
    <row r="208" spans="1:5" x14ac:dyDescent="0.3">
      <c r="A208" s="40">
        <v>44363.436039594904</v>
      </c>
      <c r="B208" t="s">
        <v>59</v>
      </c>
      <c r="C208">
        <v>28</v>
      </c>
      <c r="E208" t="s">
        <v>79</v>
      </c>
    </row>
    <row r="209" spans="1:5" x14ac:dyDescent="0.3">
      <c r="A209" s="40">
        <v>44372.053339675927</v>
      </c>
      <c r="B209" t="s">
        <v>61</v>
      </c>
      <c r="C209">
        <v>35</v>
      </c>
      <c r="E209" t="s">
        <v>79</v>
      </c>
    </row>
    <row r="210" spans="1:5" x14ac:dyDescent="0.3">
      <c r="A210" s="40">
        <v>44373.710871863426</v>
      </c>
      <c r="B210" t="s">
        <v>52</v>
      </c>
      <c r="C210">
        <v>15</v>
      </c>
      <c r="E210" t="s">
        <v>79</v>
      </c>
    </row>
    <row r="211" spans="1:5" x14ac:dyDescent="0.3">
      <c r="A211" s="40">
        <v>44378.20328494213</v>
      </c>
      <c r="B211" t="s">
        <v>60</v>
      </c>
      <c r="C211">
        <v>16</v>
      </c>
      <c r="E211" t="s">
        <v>79</v>
      </c>
    </row>
    <row r="212" spans="1:5" x14ac:dyDescent="0.3">
      <c r="A212" s="40">
        <v>44387.591846608797</v>
      </c>
      <c r="B212" t="s">
        <v>60</v>
      </c>
      <c r="C212">
        <v>34</v>
      </c>
      <c r="E212" t="s">
        <v>79</v>
      </c>
    </row>
    <row r="213" spans="1:5" x14ac:dyDescent="0.3">
      <c r="A213" s="40">
        <v>44391.01964056713</v>
      </c>
      <c r="B213" t="s">
        <v>52</v>
      </c>
      <c r="C213">
        <v>21</v>
      </c>
      <c r="E213" t="s">
        <v>81</v>
      </c>
    </row>
    <row r="214" spans="1:5" x14ac:dyDescent="0.3">
      <c r="A214" s="40">
        <v>44426.349735925927</v>
      </c>
      <c r="B214" t="s">
        <v>49</v>
      </c>
      <c r="C214">
        <v>21</v>
      </c>
      <c r="E214" t="s">
        <v>80</v>
      </c>
    </row>
    <row r="215" spans="1:5" x14ac:dyDescent="0.3">
      <c r="A215" s="40">
        <v>44429.252215671295</v>
      </c>
      <c r="B215" t="s">
        <v>55</v>
      </c>
      <c r="C215">
        <v>38</v>
      </c>
      <c r="E215" t="s">
        <v>79</v>
      </c>
    </row>
    <row r="216" spans="1:5" x14ac:dyDescent="0.3">
      <c r="A216" s="40">
        <v>44443.450088611113</v>
      </c>
      <c r="B216" t="s">
        <v>55</v>
      </c>
      <c r="C216">
        <v>18</v>
      </c>
      <c r="E216" t="s">
        <v>81</v>
      </c>
    </row>
    <row r="217" spans="1:5" x14ac:dyDescent="0.3">
      <c r="A217" s="40">
        <v>44452.63678458333</v>
      </c>
      <c r="B217" t="s">
        <v>56</v>
      </c>
      <c r="C217">
        <v>24</v>
      </c>
      <c r="E217" t="s">
        <v>80</v>
      </c>
    </row>
    <row r="218" spans="1:5" x14ac:dyDescent="0.3">
      <c r="A218" s="40">
        <v>44460.272463240741</v>
      </c>
      <c r="B218" t="s">
        <v>50</v>
      </c>
      <c r="C218">
        <v>29</v>
      </c>
      <c r="E218" t="s">
        <v>79</v>
      </c>
    </row>
    <row r="219" spans="1:5" x14ac:dyDescent="0.3">
      <c r="A219" s="40">
        <v>44462.423882731484</v>
      </c>
      <c r="B219" t="s">
        <v>56</v>
      </c>
      <c r="C219">
        <v>36</v>
      </c>
      <c r="E219" t="s">
        <v>81</v>
      </c>
    </row>
    <row r="220" spans="1:5" x14ac:dyDescent="0.3">
      <c r="A220" s="40">
        <v>44465.913613750003</v>
      </c>
      <c r="B220" t="s">
        <v>52</v>
      </c>
      <c r="C220">
        <v>15</v>
      </c>
      <c r="E220" t="s">
        <v>80</v>
      </c>
    </row>
    <row r="221" spans="1:5" x14ac:dyDescent="0.3">
      <c r="A221" s="40">
        <v>44469.988423437499</v>
      </c>
      <c r="B221" t="s">
        <v>51</v>
      </c>
      <c r="C221">
        <v>22</v>
      </c>
      <c r="E221" t="s">
        <v>79</v>
      </c>
    </row>
    <row r="222" spans="1:5" x14ac:dyDescent="0.3">
      <c r="A222" s="40"/>
    </row>
    <row r="223" spans="1:5" x14ac:dyDescent="0.3">
      <c r="A223" s="40"/>
    </row>
    <row r="224" spans="1:5" x14ac:dyDescent="0.3">
      <c r="A224" s="40"/>
    </row>
    <row r="225" spans="1:1" x14ac:dyDescent="0.3">
      <c r="A225" s="40"/>
    </row>
    <row r="226" spans="1:1" x14ac:dyDescent="0.3">
      <c r="A226" s="40"/>
    </row>
    <row r="227" spans="1:1" x14ac:dyDescent="0.3">
      <c r="A227" s="40"/>
    </row>
    <row r="228" spans="1:1" x14ac:dyDescent="0.3">
      <c r="A228" s="40"/>
    </row>
    <row r="229" spans="1:1" x14ac:dyDescent="0.3">
      <c r="A229" s="40"/>
    </row>
    <row r="230" spans="1:1" x14ac:dyDescent="0.3">
      <c r="A230" s="40"/>
    </row>
    <row r="231" spans="1:1" x14ac:dyDescent="0.3">
      <c r="A231" s="40"/>
    </row>
    <row r="232" spans="1:1" x14ac:dyDescent="0.3">
      <c r="A232" s="4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07F547-38DF-42E0-8CCA-8854F7D9B5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 КР задание</vt:lpstr>
      <vt:lpstr>вариант-номер по списку</vt:lpstr>
      <vt:lpstr>прайс</vt:lpstr>
      <vt:lpstr>Итоговая</vt:lpstr>
      <vt:lpstr>Лист1</vt:lpstr>
      <vt:lpstr>Детки-конфетки</vt:lpstr>
      <vt:lpstr>Детский мир</vt:lpstr>
      <vt:lpstr>Машенька</vt:lpstr>
      <vt:lpstr>Мир детства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 Yned</dc:creator>
  <dc:description/>
  <cp:lastModifiedBy>Ксения Верхотурова</cp:lastModifiedBy>
  <cp:revision>0</cp:revision>
  <dcterms:created xsi:type="dcterms:W3CDTF">2023-01-07T16:26:20Z</dcterms:created>
  <dcterms:modified xsi:type="dcterms:W3CDTF">2026-06-05T11:27:50Z</dcterms:modified>
  <dc:language>ru-RU</dc:language>
</cp:coreProperties>
</file>